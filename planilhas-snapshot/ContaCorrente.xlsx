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celorodrigues/Library/CloudStorage/GoogleDrive-marcelo@3mvrepresentacao.com/Meu Drive/3MV/BI/2026/"/>
    </mc:Choice>
  </mc:AlternateContent>
  <xr:revisionPtr revIDLastSave="0" documentId="13_ncr:1_{9357DD08-92E3-1849-8949-83BA87D63B33}" xr6:coauthVersionLast="47" xr6:coauthVersionMax="47" xr10:uidLastSave="{00000000-0000-0000-0000-000000000000}"/>
  <bookViews>
    <workbookView xWindow="0" yWindow="660" windowWidth="25600" windowHeight="14880" xr2:uid="{F06FA462-EAD9-4D8D-88F7-8F4FDCF615B8}"/>
  </bookViews>
  <sheets>
    <sheet name="NF DE DEV EM ABERTO" sheetId="1" r:id="rId1"/>
    <sheet name="NF DE DEV PAGA" sheetId="2" r:id="rId2"/>
    <sheet name="CONTA CORRENTE" sheetId="3" r:id="rId3"/>
  </sheets>
  <definedNames>
    <definedName name="_xlnm._FilterDatabase" localSheetId="2">'CONTA CORRENTE'!$A$1:$N$39</definedName>
    <definedName name="_xlnm._FilterDatabase" localSheetId="0" hidden="1">'NF DE DEV EM ABERTO'!$A$1:$I$81</definedName>
    <definedName name="_xlnm._FilterDatabase" localSheetId="1" hidden="1">'NF DE DEV PAGA'!$A$1:$H$165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3" l="1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2" i="3"/>
</calcChain>
</file>

<file path=xl/sharedStrings.xml><?xml version="1.0" encoding="utf-8"?>
<sst xmlns="http://schemas.openxmlformats.org/spreadsheetml/2006/main" count="960" uniqueCount="172">
  <si>
    <t>DATA</t>
  </si>
  <si>
    <t>CLIENTE</t>
  </si>
  <si>
    <t>CNPJ</t>
  </si>
  <si>
    <t xml:space="preserve">VALOR </t>
  </si>
  <si>
    <t>OBSERVAÇÃO</t>
  </si>
  <si>
    <t>NF DE ORIGEM</t>
  </si>
  <si>
    <t>INDUSTRIA</t>
  </si>
  <si>
    <t>Nº DA NFD</t>
  </si>
  <si>
    <t>PAGO NA NF</t>
  </si>
  <si>
    <t>DATA NFD</t>
  </si>
  <si>
    <t>OBS SABRINNA</t>
  </si>
  <si>
    <t>TIA SONIA</t>
  </si>
  <si>
    <t xml:space="preserve">HORTIFRUTAS NOBRE </t>
  </si>
  <si>
    <t>GARCIA CIDADE NOVA</t>
  </si>
  <si>
    <t>GARCIA CANAA</t>
  </si>
  <si>
    <t>COMERCIAL SOARES E FREITAS</t>
  </si>
  <si>
    <t>BRASIL BROMELIAS</t>
  </si>
  <si>
    <t>GARCIA VENEZA</t>
  </si>
  <si>
    <t xml:space="preserve">GARCIA CANAA </t>
  </si>
  <si>
    <t>SJ SUPERMERCADOS</t>
  </si>
  <si>
    <t xml:space="preserve">CONSUL IDEAL </t>
  </si>
  <si>
    <t>CONSUL BOM RETIRO</t>
  </si>
  <si>
    <t>CONSUL CARIRU</t>
  </si>
  <si>
    <t>JMF CIDADE NOBRE</t>
  </si>
  <si>
    <t>DEGRAU TIMIRIM</t>
  </si>
  <si>
    <t>6958-12138</t>
  </si>
  <si>
    <t>DEGRAU BROMELIAS</t>
  </si>
  <si>
    <t>DANA</t>
  </si>
  <si>
    <t xml:space="preserve">BIF MAIS </t>
  </si>
  <si>
    <t>EMBELLEZE</t>
  </si>
  <si>
    <t>HIPER ATACADISTA</t>
  </si>
  <si>
    <t>BIG MAIS</t>
  </si>
  <si>
    <t>NOSSA DISTRIBUIDORA</t>
  </si>
  <si>
    <t>DEGRAU CIDADE NOBRE</t>
  </si>
  <si>
    <t>DEGRAU LIMOEIRO</t>
  </si>
  <si>
    <t>GARDINGO</t>
  </si>
  <si>
    <t>CONSUL QUITANDINHA</t>
  </si>
  <si>
    <t>DESCONTADO</t>
  </si>
  <si>
    <t>SOARES E FREITAS</t>
  </si>
  <si>
    <t>ANACLETO</t>
  </si>
  <si>
    <t>MELBRAS</t>
  </si>
  <si>
    <t>DUVALE</t>
  </si>
  <si>
    <t>CONSUL</t>
  </si>
  <si>
    <t xml:space="preserve">ENVIADO EM RELATORIO PELA PAMELA </t>
  </si>
  <si>
    <t>SUPERMERCADO DO IRMÃO</t>
  </si>
  <si>
    <t>BOLETO</t>
  </si>
  <si>
    <t>GARCIA</t>
  </si>
  <si>
    <t>JRA</t>
  </si>
  <si>
    <t>casa</t>
  </si>
  <si>
    <t>HORTIFRUTAS NOBRE</t>
  </si>
  <si>
    <t>SE ABATEU</t>
  </si>
  <si>
    <t>HIPER COMERCIAL</t>
  </si>
  <si>
    <t>DEPOSITO</t>
  </si>
  <si>
    <t>BRASIL TIMIRIM</t>
  </si>
  <si>
    <t>ANDRADE</t>
  </si>
  <si>
    <t>GARDINGO MATIPO</t>
  </si>
  <si>
    <t>GARDINGO MUTUM</t>
  </si>
  <si>
    <t>SO LARANJA</t>
  </si>
  <si>
    <t>ENTRE RIOS</t>
  </si>
  <si>
    <t>CONSUL IDEAL</t>
  </si>
  <si>
    <t>CONDOR</t>
  </si>
  <si>
    <t>DAC</t>
  </si>
  <si>
    <t>TAF</t>
  </si>
  <si>
    <t>ZARB</t>
  </si>
  <si>
    <t>BRASIL LIMOEIRO</t>
  </si>
  <si>
    <t>BRASIL MELO VIANA</t>
  </si>
  <si>
    <t>HORTIFRUTAS</t>
  </si>
  <si>
    <t>NTA ASSOCIADOS</t>
  </si>
  <si>
    <t>GARCIA ESPERANÇA</t>
  </si>
  <si>
    <t xml:space="preserve">MIRANDA </t>
  </si>
  <si>
    <t>DEPOSITO 17/12</t>
  </si>
  <si>
    <t>DAVENE</t>
  </si>
  <si>
    <t>DEPOSITO 30/01</t>
  </si>
  <si>
    <t>28801-35177</t>
  </si>
  <si>
    <t>INDIANA</t>
  </si>
  <si>
    <t>FORNECEDORA JACOME</t>
  </si>
  <si>
    <t>SUPERMERCADO DEGRAU LTDA</t>
  </si>
  <si>
    <t>SUPERACO ALIMENTOS LTDA</t>
  </si>
  <si>
    <t>CROLL</t>
  </si>
  <si>
    <t>PAGO DEPOSITO 03/08/24</t>
  </si>
  <si>
    <t>PAGO PIX 03/02/25</t>
  </si>
  <si>
    <t>ALOE BAF</t>
  </si>
  <si>
    <t>PG 31/10/2023</t>
  </si>
  <si>
    <t>PG 20/06/2024</t>
  </si>
  <si>
    <t>MONLEVADE</t>
  </si>
  <si>
    <t>DUVALE CIDADE NOBRE</t>
  </si>
  <si>
    <t>VAREJAO AVENIDA</t>
  </si>
  <si>
    <t>ORGANIZAÇÕES JMF</t>
  </si>
  <si>
    <t>INDIANA BA</t>
  </si>
  <si>
    <t>DUVALE FABRICIANO</t>
  </si>
  <si>
    <t>CONSUL IGUAÇU</t>
  </si>
  <si>
    <t>CEVAROLI</t>
  </si>
  <si>
    <t>CONSUL VENEZA</t>
  </si>
  <si>
    <t>INDIANA TEOFIOLO OTONI</t>
  </si>
  <si>
    <t>DO IRMÃO</t>
  </si>
  <si>
    <t>38.616.553/0004-09</t>
  </si>
  <si>
    <t>N da NFD</t>
  </si>
  <si>
    <t>DCA BA</t>
  </si>
  <si>
    <t>31.912.909/0001-40</t>
  </si>
  <si>
    <t>45.454.137/0001-54</t>
  </si>
  <si>
    <t>M.L.D</t>
  </si>
  <si>
    <t>23.243.807/0001-50</t>
  </si>
  <si>
    <t>BRASIL</t>
  </si>
  <si>
    <t>02.912.729/0003-21</t>
  </si>
  <si>
    <t>BRASIL CORONEL FABRICIANO</t>
  </si>
  <si>
    <t>02.912.729/0007-55</t>
  </si>
  <si>
    <t>02.912.729/0002-40</t>
  </si>
  <si>
    <t>18.562.652/0001-85</t>
  </si>
  <si>
    <t>MIRANDA</t>
  </si>
  <si>
    <t>86.440.732/0001-18</t>
  </si>
  <si>
    <t>25.102.146/0014-93</t>
  </si>
  <si>
    <t>25.102.146/0228-14</t>
  </si>
  <si>
    <t>BIGMAIS</t>
  </si>
  <si>
    <t>07.263.762/0007-15</t>
  </si>
  <si>
    <t>MARTINS E BARROS</t>
  </si>
  <si>
    <t>24.273.986/0001-31</t>
  </si>
  <si>
    <t>SJ SUPERMERCADO</t>
  </si>
  <si>
    <t>18.979.708/0004-44</t>
  </si>
  <si>
    <t>18.861.682/0020-55</t>
  </si>
  <si>
    <t>02.912.729/0005-93</t>
  </si>
  <si>
    <t>33.411.147/0001-23</t>
  </si>
  <si>
    <t>04.770.443/0002-01</t>
  </si>
  <si>
    <t>08.335.717/0002-87</t>
  </si>
  <si>
    <t>BRASIL JARDIM PANORAMA</t>
  </si>
  <si>
    <t>02.912.729/0006-74</t>
  </si>
  <si>
    <t>18.861.682/0009-40</t>
  </si>
  <si>
    <t>04.373.539/0001-47</t>
  </si>
  <si>
    <t>42.793.042/0005-09</t>
  </si>
  <si>
    <t>04.373.539/0003-09</t>
  </si>
  <si>
    <t>BRASIL CIDADE NOBRE</t>
  </si>
  <si>
    <t>04.373.539/0004-90</t>
  </si>
  <si>
    <t>HIPER OPA</t>
  </si>
  <si>
    <t>01.371.588/0001-52</t>
  </si>
  <si>
    <t>25.102.146/0101-31</t>
  </si>
  <si>
    <t>42.793.042/0001-77</t>
  </si>
  <si>
    <t>26.308.783/0001-69</t>
  </si>
  <si>
    <t>19.860.683/0014-08</t>
  </si>
  <si>
    <t>19.860.683/0003-47</t>
  </si>
  <si>
    <t>02.912.729/0004-02</t>
  </si>
  <si>
    <t>00.658.483/0001-16</t>
  </si>
  <si>
    <t>SUPERACO ALIMENTOS</t>
  </si>
  <si>
    <t>08.335.717/0005-20</t>
  </si>
  <si>
    <t>08.335.717/0008-72</t>
  </si>
  <si>
    <t>08.335.717/0007-91</t>
  </si>
  <si>
    <t>IRMAOS MATTAR</t>
  </si>
  <si>
    <t>08.385.685/0002-24</t>
  </si>
  <si>
    <t>19.860.683/0018-23</t>
  </si>
  <si>
    <t>35910</t>
  </si>
  <si>
    <t>35782</t>
  </si>
  <si>
    <t>35907</t>
  </si>
  <si>
    <t>35389</t>
  </si>
  <si>
    <t>GIOVANNA BABY</t>
  </si>
  <si>
    <t>KANITZ</t>
  </si>
  <si>
    <t>JACQUES JANINE</t>
  </si>
  <si>
    <t>TIPO</t>
  </si>
  <si>
    <t>BONIFICADO</t>
  </si>
  <si>
    <t>TRADE</t>
  </si>
  <si>
    <t>COMERCIAL</t>
  </si>
  <si>
    <t>NF</t>
  </si>
  <si>
    <t>%</t>
  </si>
  <si>
    <t>SALDO</t>
  </si>
  <si>
    <t>ACAI FRUIT SHOW COLATINA</t>
  </si>
  <si>
    <t>ACAI FRUIT SHOW GV</t>
  </si>
  <si>
    <t>ACAI FRUIT SHOW IPATINGA</t>
  </si>
  <si>
    <t>ACAI FRUIT SHOW TEOFILO OTONI</t>
  </si>
  <si>
    <t>NEGOCIAÇÃO</t>
  </si>
  <si>
    <t>VALOR PAGO</t>
  </si>
  <si>
    <t>VALOR NEGOCIADO PELO FATURADO</t>
  </si>
  <si>
    <t>VALOR TOTAL PEDIDO ENVIADO</t>
  </si>
  <si>
    <t>VALOR TOTAL PEDIDO FATURADO</t>
  </si>
  <si>
    <t>VALOR NEGOCIADO</t>
  </si>
  <si>
    <t>PEDIDO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</si>
</sst>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3" borderId="1" xfId="0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center"/>
    </xf>
    <xf numFmtId="44" fontId="0" fillId="0" borderId="1" xfId="1" applyFont="1" applyBorder="1"/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0" borderId="1" xfId="0" applyNumberFormat="1" applyBorder="1" applyAlignment="1">
      <alignment horizontal="right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17" fontId="0" fillId="0" borderId="1" xfId="0" applyNumberFormat="1" applyBorder="1" applyAlignment="1">
      <alignment horizontal="right" vertical="center"/>
    </xf>
    <xf numFmtId="8" fontId="0" fillId="0" borderId="1" xfId="1" applyNumberFormat="1" applyFont="1" applyBorder="1"/>
    <xf numFmtId="44" fontId="0" fillId="0" borderId="1" xfId="1" applyFont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44" fontId="3" fillId="3" borderId="1" xfId="1" applyFont="1" applyFill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8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8" fontId="0" fillId="0" borderId="2" xfId="0" applyNumberFormat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0" fontId="0" fillId="3" borderId="4" xfId="0" applyFill="1" applyBorder="1"/>
    <xf numFmtId="9" fontId="0" fillId="0" borderId="1" xfId="0" applyNumberFormat="1" applyBorder="1"/>
    <xf numFmtId="14" fontId="0" fillId="0" borderId="1" xfId="0" applyNumberFormat="1" applyBorder="1"/>
    <xf numFmtId="0" fontId="0" fillId="0" borderId="4" xfId="0" applyBorder="1" applyAlignment="1">
      <alignment horizontal="left"/>
    </xf>
    <xf numFmtId="0" fontId="0" fillId="3" borderId="5" xfId="0" applyFill="1" applyBorder="1"/>
    <xf numFmtId="0" fontId="4" fillId="0" borderId="6" xfId="0" applyFont="1" applyBorder="1"/>
    <xf numFmtId="0" fontId="4" fillId="0" borderId="0" xfId="0" applyFont="1" applyBorder="1"/>
    <xf numFmtId="43" fontId="0" fillId="0" borderId="1" xfId="1" applyNumberFormat="1" applyFont="1" applyBorder="1"/>
    <xf numFmtId="0" fontId="4" fillId="0" borderId="1" xfId="0" applyFont="1" applyBorder="1"/>
    <xf numFmtId="0" fontId="4" fillId="0" borderId="7" xfId="0" applyFont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BCAF-BA68-493D-8575-94E57316F83C}">
  <dimension ref="A1:I81"/>
  <sheetViews>
    <sheetView tabSelected="1" workbookViewId="0">
      <selection activeCell="E81" sqref="E81"/>
    </sheetView>
  </sheetViews>
  <sheetFormatPr baseColWidth="10" defaultColWidth="8.83203125" defaultRowHeight="15" x14ac:dyDescent="0.2"/>
  <cols>
    <col min="1" max="1" width="10.1640625" bestFit="1" customWidth="1"/>
    <col min="2" max="2" width="13" bestFit="1" customWidth="1"/>
    <col min="3" max="3" width="10.1640625" bestFit="1" customWidth="1"/>
    <col min="4" max="4" width="26" bestFit="1" customWidth="1"/>
    <col min="5" max="5" width="26" customWidth="1"/>
    <col min="6" max="6" width="17.33203125" bestFit="1" customWidth="1"/>
    <col min="7" max="7" width="11.33203125" bestFit="1" customWidth="1"/>
    <col min="8" max="8" width="12.33203125" bestFit="1" customWidth="1"/>
    <col min="9" max="9" width="12.83203125" bestFit="1" customWidth="1"/>
  </cols>
  <sheetData>
    <row r="1" spans="1:9" x14ac:dyDescent="0.2">
      <c r="A1" s="19" t="s">
        <v>6</v>
      </c>
      <c r="B1" s="27" t="s">
        <v>96</v>
      </c>
      <c r="C1" s="27" t="s">
        <v>0</v>
      </c>
      <c r="D1" s="27" t="s">
        <v>1</v>
      </c>
      <c r="E1" s="27" t="s">
        <v>6</v>
      </c>
      <c r="F1" s="28" t="s">
        <v>2</v>
      </c>
      <c r="G1" s="27" t="s">
        <v>3</v>
      </c>
      <c r="H1" s="27" t="s">
        <v>4</v>
      </c>
      <c r="I1" s="27" t="s">
        <v>5</v>
      </c>
    </row>
    <row r="2" spans="1:9" x14ac:dyDescent="0.2">
      <c r="A2" s="29" t="s">
        <v>40</v>
      </c>
      <c r="B2" s="30">
        <v>37072</v>
      </c>
      <c r="C2" s="31">
        <v>45772</v>
      </c>
      <c r="D2" s="32" t="s">
        <v>94</v>
      </c>
      <c r="E2" s="36" t="s">
        <v>29</v>
      </c>
      <c r="F2" s="33" t="s">
        <v>95</v>
      </c>
      <c r="G2" s="34">
        <v>231.51</v>
      </c>
      <c r="H2" s="35"/>
      <c r="I2" s="35"/>
    </row>
    <row r="3" spans="1:9" x14ac:dyDescent="0.2">
      <c r="A3" s="12" t="s">
        <v>71</v>
      </c>
      <c r="B3" s="12">
        <v>477669</v>
      </c>
      <c r="C3" s="11">
        <v>45680</v>
      </c>
      <c r="D3" s="12" t="s">
        <v>97</v>
      </c>
      <c r="E3" s="36" t="s">
        <v>60</v>
      </c>
      <c r="F3" s="12" t="s">
        <v>98</v>
      </c>
      <c r="G3" s="21">
        <v>127.17</v>
      </c>
      <c r="H3" s="35"/>
      <c r="I3" s="35"/>
    </row>
    <row r="4" spans="1:9" x14ac:dyDescent="0.2">
      <c r="A4" s="12" t="s">
        <v>71</v>
      </c>
      <c r="B4" s="12">
        <v>154204</v>
      </c>
      <c r="C4" s="11">
        <v>45800</v>
      </c>
      <c r="D4" s="12" t="s">
        <v>61</v>
      </c>
      <c r="E4" s="36" t="s">
        <v>71</v>
      </c>
      <c r="F4" s="12" t="s">
        <v>99</v>
      </c>
      <c r="G4" s="21">
        <v>130.44999999999999</v>
      </c>
      <c r="H4" s="35"/>
      <c r="I4" s="35"/>
    </row>
    <row r="5" spans="1:9" x14ac:dyDescent="0.2">
      <c r="A5" s="12" t="s">
        <v>27</v>
      </c>
      <c r="B5" s="12">
        <v>4753</v>
      </c>
      <c r="C5" s="11">
        <v>45406</v>
      </c>
      <c r="D5" s="12" t="s">
        <v>100</v>
      </c>
      <c r="E5" s="36" t="s">
        <v>151</v>
      </c>
      <c r="F5" s="12" t="s">
        <v>101</v>
      </c>
      <c r="G5" s="21">
        <v>342</v>
      </c>
      <c r="H5" s="12"/>
      <c r="I5" s="35"/>
    </row>
    <row r="6" spans="1:9" x14ac:dyDescent="0.2">
      <c r="A6" s="12" t="s">
        <v>27</v>
      </c>
      <c r="B6" s="12">
        <v>5513</v>
      </c>
      <c r="C6" s="11">
        <v>45504</v>
      </c>
      <c r="D6" s="12" t="s">
        <v>102</v>
      </c>
      <c r="E6" s="36" t="s">
        <v>153</v>
      </c>
      <c r="F6" s="12" t="s">
        <v>103</v>
      </c>
      <c r="G6" s="21">
        <v>136.96</v>
      </c>
      <c r="H6" s="12"/>
      <c r="I6" s="35"/>
    </row>
    <row r="7" spans="1:9" x14ac:dyDescent="0.2">
      <c r="A7" s="12" t="s">
        <v>27</v>
      </c>
      <c r="B7" s="12">
        <v>2882</v>
      </c>
      <c r="C7" s="11">
        <v>45546</v>
      </c>
      <c r="D7" s="12" t="s">
        <v>104</v>
      </c>
      <c r="E7" s="40" t="s">
        <v>152</v>
      </c>
      <c r="F7" s="12" t="s">
        <v>105</v>
      </c>
      <c r="G7" s="21">
        <v>79.849999999999994</v>
      </c>
      <c r="H7" s="12"/>
      <c r="I7" s="35"/>
    </row>
    <row r="8" spans="1:9" x14ac:dyDescent="0.2">
      <c r="A8" s="12" t="s">
        <v>27</v>
      </c>
      <c r="B8" s="12">
        <v>10631</v>
      </c>
      <c r="C8" s="11">
        <v>45555</v>
      </c>
      <c r="D8" s="12" t="s">
        <v>53</v>
      </c>
      <c r="E8" s="36" t="s">
        <v>29</v>
      </c>
      <c r="F8" s="12" t="s">
        <v>106</v>
      </c>
      <c r="G8" s="21">
        <v>220.97</v>
      </c>
      <c r="H8" s="12"/>
      <c r="I8" s="35"/>
    </row>
    <row r="9" spans="1:9" x14ac:dyDescent="0.2">
      <c r="A9" s="12" t="s">
        <v>27</v>
      </c>
      <c r="B9" s="12">
        <v>454982</v>
      </c>
      <c r="C9" s="11">
        <v>45551</v>
      </c>
      <c r="D9" s="12" t="s">
        <v>86</v>
      </c>
      <c r="E9" s="36" t="s">
        <v>60</v>
      </c>
      <c r="F9" s="12" t="s">
        <v>107</v>
      </c>
      <c r="G9" s="21">
        <v>57.93</v>
      </c>
      <c r="H9" s="12"/>
      <c r="I9" s="35"/>
    </row>
    <row r="10" spans="1:9" x14ac:dyDescent="0.2">
      <c r="A10" s="12" t="s">
        <v>27</v>
      </c>
      <c r="B10" s="12">
        <v>97171</v>
      </c>
      <c r="C10" s="11">
        <v>45572</v>
      </c>
      <c r="D10" s="12" t="s">
        <v>108</v>
      </c>
      <c r="E10" s="36" t="s">
        <v>71</v>
      </c>
      <c r="F10" s="12" t="s">
        <v>109</v>
      </c>
      <c r="G10" s="21">
        <v>37.26</v>
      </c>
      <c r="H10" s="12"/>
      <c r="I10" s="35"/>
    </row>
    <row r="11" spans="1:9" x14ac:dyDescent="0.2">
      <c r="A11" s="12" t="s">
        <v>27</v>
      </c>
      <c r="B11" s="12">
        <v>3307386</v>
      </c>
      <c r="C11" s="11">
        <v>45709</v>
      </c>
      <c r="D11" s="12" t="s">
        <v>74</v>
      </c>
      <c r="E11" s="36" t="s">
        <v>151</v>
      </c>
      <c r="F11" s="12" t="s">
        <v>110</v>
      </c>
      <c r="G11" s="21">
        <v>509.88</v>
      </c>
      <c r="H11" s="12"/>
      <c r="I11" s="35"/>
    </row>
    <row r="12" spans="1:9" x14ac:dyDescent="0.2">
      <c r="A12" s="12" t="s">
        <v>27</v>
      </c>
      <c r="B12" s="12">
        <v>3534864</v>
      </c>
      <c r="C12" s="11">
        <v>45817</v>
      </c>
      <c r="D12" s="12" t="s">
        <v>74</v>
      </c>
      <c r="E12" s="36" t="s">
        <v>153</v>
      </c>
      <c r="F12" s="12" t="s">
        <v>110</v>
      </c>
      <c r="G12" s="13">
        <v>239.4</v>
      </c>
      <c r="H12" s="12"/>
      <c r="I12" s="35"/>
    </row>
    <row r="13" spans="1:9" x14ac:dyDescent="0.2">
      <c r="A13" s="12" t="s">
        <v>27</v>
      </c>
      <c r="B13" s="12">
        <v>3307386</v>
      </c>
      <c r="C13" s="11">
        <v>45709</v>
      </c>
      <c r="D13" s="12" t="s">
        <v>74</v>
      </c>
      <c r="E13" s="40" t="s">
        <v>152</v>
      </c>
      <c r="F13" s="12" t="s">
        <v>110</v>
      </c>
      <c r="G13" s="21">
        <v>509.88</v>
      </c>
      <c r="H13" s="12"/>
      <c r="I13" s="35"/>
    </row>
    <row r="14" spans="1:9" x14ac:dyDescent="0.2">
      <c r="A14" s="12" t="s">
        <v>27</v>
      </c>
      <c r="B14" s="12">
        <v>3359666</v>
      </c>
      <c r="C14" s="11">
        <v>45740</v>
      </c>
      <c r="D14" s="12" t="s">
        <v>74</v>
      </c>
      <c r="E14" s="36" t="s">
        <v>29</v>
      </c>
      <c r="F14" s="12" t="s">
        <v>110</v>
      </c>
      <c r="G14" s="21">
        <v>79.8</v>
      </c>
      <c r="H14" s="12"/>
      <c r="I14" s="35"/>
    </row>
    <row r="15" spans="1:9" x14ac:dyDescent="0.2">
      <c r="A15" s="12" t="s">
        <v>27</v>
      </c>
      <c r="B15" s="12">
        <v>39585</v>
      </c>
      <c r="C15" s="11">
        <v>45735</v>
      </c>
      <c r="D15" s="12" t="s">
        <v>74</v>
      </c>
      <c r="E15" s="36" t="s">
        <v>60</v>
      </c>
      <c r="F15" s="12" t="s">
        <v>111</v>
      </c>
      <c r="G15" s="21">
        <v>478.8</v>
      </c>
      <c r="H15" s="12"/>
      <c r="I15" s="35"/>
    </row>
    <row r="16" spans="1:9" x14ac:dyDescent="0.2">
      <c r="A16" s="12" t="s">
        <v>27</v>
      </c>
      <c r="B16" s="12">
        <v>3624617</v>
      </c>
      <c r="C16" s="11">
        <v>45842</v>
      </c>
      <c r="D16" s="12" t="s">
        <v>74</v>
      </c>
      <c r="E16" s="36" t="s">
        <v>71</v>
      </c>
      <c r="F16" s="12" t="s">
        <v>110</v>
      </c>
      <c r="G16" s="21">
        <v>1711.92</v>
      </c>
      <c r="H16" s="12"/>
      <c r="I16" s="35"/>
    </row>
    <row r="17" spans="1:9" x14ac:dyDescent="0.2">
      <c r="A17" s="12" t="s">
        <v>27</v>
      </c>
      <c r="B17" s="12">
        <v>3694325</v>
      </c>
      <c r="C17" s="11">
        <v>45861</v>
      </c>
      <c r="D17" s="12" t="s">
        <v>74</v>
      </c>
      <c r="E17" s="36" t="s">
        <v>151</v>
      </c>
      <c r="F17" s="12" t="s">
        <v>110</v>
      </c>
      <c r="G17" s="21">
        <v>159.6</v>
      </c>
      <c r="H17" s="12"/>
      <c r="I17" s="35"/>
    </row>
    <row r="18" spans="1:9" x14ac:dyDescent="0.2">
      <c r="A18" s="12" t="s">
        <v>27</v>
      </c>
      <c r="B18" s="12">
        <v>3785420</v>
      </c>
      <c r="C18" s="11">
        <v>45883</v>
      </c>
      <c r="D18" s="12" t="s">
        <v>74</v>
      </c>
      <c r="E18" s="36" t="s">
        <v>153</v>
      </c>
      <c r="F18" s="12" t="s">
        <v>110</v>
      </c>
      <c r="G18" s="21">
        <v>79.8</v>
      </c>
      <c r="H18" s="12"/>
      <c r="I18" s="35"/>
    </row>
    <row r="19" spans="1:9" x14ac:dyDescent="0.2">
      <c r="A19" s="12" t="s">
        <v>29</v>
      </c>
      <c r="B19" s="12">
        <v>94352</v>
      </c>
      <c r="C19" s="11">
        <v>45495</v>
      </c>
      <c r="D19" s="12" t="s">
        <v>61</v>
      </c>
      <c r="E19" s="40" t="s">
        <v>152</v>
      </c>
      <c r="F19" s="12" t="s">
        <v>99</v>
      </c>
      <c r="G19" s="21">
        <v>416.95</v>
      </c>
      <c r="H19" s="12"/>
      <c r="I19" s="35"/>
    </row>
    <row r="20" spans="1:9" x14ac:dyDescent="0.2">
      <c r="A20" s="12" t="s">
        <v>29</v>
      </c>
      <c r="B20" s="12">
        <v>94353</v>
      </c>
      <c r="C20" s="11">
        <v>45495</v>
      </c>
      <c r="D20" s="12" t="s">
        <v>61</v>
      </c>
      <c r="E20" s="36" t="s">
        <v>29</v>
      </c>
      <c r="F20" s="12" t="s">
        <v>99</v>
      </c>
      <c r="G20" s="21">
        <v>114.74</v>
      </c>
      <c r="H20" s="12"/>
      <c r="I20" s="35"/>
    </row>
    <row r="21" spans="1:9" x14ac:dyDescent="0.2">
      <c r="A21" s="12" t="s">
        <v>29</v>
      </c>
      <c r="B21" s="12">
        <v>94354</v>
      </c>
      <c r="C21" s="11">
        <v>45495</v>
      </c>
      <c r="D21" s="12" t="s">
        <v>61</v>
      </c>
      <c r="E21" s="36" t="s">
        <v>60</v>
      </c>
      <c r="F21" s="12" t="s">
        <v>99</v>
      </c>
      <c r="G21" s="21">
        <v>52.12</v>
      </c>
      <c r="H21" s="12"/>
      <c r="I21" s="35"/>
    </row>
    <row r="22" spans="1:9" x14ac:dyDescent="0.2">
      <c r="A22" s="12" t="s">
        <v>29</v>
      </c>
      <c r="B22" s="12">
        <v>94356</v>
      </c>
      <c r="C22" s="11">
        <v>45495</v>
      </c>
      <c r="D22" s="12" t="s">
        <v>61</v>
      </c>
      <c r="E22" s="36" t="s">
        <v>71</v>
      </c>
      <c r="F22" s="12" t="s">
        <v>99</v>
      </c>
      <c r="G22" s="21">
        <v>94.86</v>
      </c>
      <c r="H22" s="12"/>
      <c r="I22" s="35"/>
    </row>
    <row r="23" spans="1:9" x14ac:dyDescent="0.2">
      <c r="A23" s="12" t="s">
        <v>29</v>
      </c>
      <c r="B23" s="12">
        <v>273477</v>
      </c>
      <c r="C23" s="11">
        <v>45590</v>
      </c>
      <c r="D23" s="12" t="s">
        <v>112</v>
      </c>
      <c r="E23" s="36" t="s">
        <v>151</v>
      </c>
      <c r="F23" s="12" t="s">
        <v>113</v>
      </c>
      <c r="G23" s="21">
        <v>86.25</v>
      </c>
      <c r="H23" s="12"/>
      <c r="I23" s="35"/>
    </row>
    <row r="24" spans="1:9" x14ac:dyDescent="0.2">
      <c r="A24" s="12" t="s">
        <v>29</v>
      </c>
      <c r="B24" s="12">
        <v>275061</v>
      </c>
      <c r="C24" s="11">
        <v>45607</v>
      </c>
      <c r="D24" s="12" t="s">
        <v>112</v>
      </c>
      <c r="E24" s="36" t="s">
        <v>153</v>
      </c>
      <c r="F24" s="12" t="s">
        <v>113</v>
      </c>
      <c r="G24" s="21">
        <v>145.21</v>
      </c>
      <c r="H24" s="12"/>
      <c r="I24" s="35"/>
    </row>
    <row r="25" spans="1:9" x14ac:dyDescent="0.2">
      <c r="A25" s="3" t="s">
        <v>11</v>
      </c>
      <c r="B25" s="12">
        <v>3634</v>
      </c>
      <c r="C25" s="11">
        <v>45322</v>
      </c>
      <c r="D25" s="12" t="s">
        <v>114</v>
      </c>
      <c r="E25" s="40" t="s">
        <v>152</v>
      </c>
      <c r="F25" s="9" t="s">
        <v>115</v>
      </c>
      <c r="G25" s="21">
        <v>230.2</v>
      </c>
      <c r="H25" s="35"/>
      <c r="I25" s="36">
        <v>8031</v>
      </c>
    </row>
    <row r="26" spans="1:9" x14ac:dyDescent="0.2">
      <c r="A26" s="3" t="s">
        <v>11</v>
      </c>
      <c r="B26" s="12">
        <v>3677</v>
      </c>
      <c r="C26" s="11">
        <v>45342</v>
      </c>
      <c r="D26" s="12" t="s">
        <v>114</v>
      </c>
      <c r="E26" s="36" t="s">
        <v>29</v>
      </c>
      <c r="F26" s="9" t="s">
        <v>115</v>
      </c>
      <c r="G26" s="21">
        <v>547.27</v>
      </c>
      <c r="H26" s="35"/>
      <c r="I26" s="36">
        <v>8030</v>
      </c>
    </row>
    <row r="27" spans="1:9" x14ac:dyDescent="0.2">
      <c r="A27" s="3" t="s">
        <v>11</v>
      </c>
      <c r="B27" s="12">
        <v>2992</v>
      </c>
      <c r="C27" s="11">
        <v>45562</v>
      </c>
      <c r="D27" s="12" t="s">
        <v>65</v>
      </c>
      <c r="E27" s="36" t="s">
        <v>60</v>
      </c>
      <c r="F27" s="9" t="s">
        <v>105</v>
      </c>
      <c r="G27" s="21">
        <v>67.02</v>
      </c>
      <c r="H27" s="35"/>
      <c r="I27" s="36">
        <v>8029</v>
      </c>
    </row>
    <row r="28" spans="1:9" x14ac:dyDescent="0.2">
      <c r="A28" s="3" t="s">
        <v>11</v>
      </c>
      <c r="B28" s="12">
        <v>488492</v>
      </c>
      <c r="C28" s="11">
        <v>45582</v>
      </c>
      <c r="D28" s="12" t="s">
        <v>116</v>
      </c>
      <c r="E28" s="36" t="s">
        <v>71</v>
      </c>
      <c r="F28" s="9" t="s">
        <v>117</v>
      </c>
      <c r="G28" s="21">
        <v>302.73</v>
      </c>
      <c r="H28" s="35"/>
      <c r="I28" s="36">
        <v>8028</v>
      </c>
    </row>
    <row r="29" spans="1:9" x14ac:dyDescent="0.2">
      <c r="A29" s="3" t="s">
        <v>11</v>
      </c>
      <c r="B29" s="12">
        <v>632</v>
      </c>
      <c r="C29" s="11">
        <v>45575</v>
      </c>
      <c r="D29" s="12" t="s">
        <v>35</v>
      </c>
      <c r="E29" s="36" t="s">
        <v>151</v>
      </c>
      <c r="F29" s="9" t="s">
        <v>118</v>
      </c>
      <c r="G29" s="21">
        <v>805.72</v>
      </c>
      <c r="H29" s="35"/>
      <c r="I29" s="36">
        <v>8027</v>
      </c>
    </row>
    <row r="30" spans="1:9" x14ac:dyDescent="0.2">
      <c r="A30" s="3" t="s">
        <v>11</v>
      </c>
      <c r="B30" s="12">
        <v>3430</v>
      </c>
      <c r="C30" s="11">
        <v>45604</v>
      </c>
      <c r="D30" s="12" t="s">
        <v>33</v>
      </c>
      <c r="E30" s="36" t="s">
        <v>153</v>
      </c>
      <c r="F30" s="9" t="s">
        <v>119</v>
      </c>
      <c r="G30" s="21">
        <v>52.22</v>
      </c>
      <c r="H30" s="35"/>
      <c r="I30" s="36">
        <v>8026</v>
      </c>
    </row>
    <row r="31" spans="1:9" x14ac:dyDescent="0.2">
      <c r="A31" s="3" t="s">
        <v>11</v>
      </c>
      <c r="B31" s="12">
        <v>2908</v>
      </c>
      <c r="C31" s="11">
        <v>45687</v>
      </c>
      <c r="D31" s="12" t="s">
        <v>57</v>
      </c>
      <c r="E31" s="40" t="s">
        <v>152</v>
      </c>
      <c r="F31" s="9" t="s">
        <v>120</v>
      </c>
      <c r="G31" s="21">
        <v>204.02</v>
      </c>
      <c r="H31" s="35"/>
      <c r="I31" s="36">
        <v>8025</v>
      </c>
    </row>
    <row r="32" spans="1:9" x14ac:dyDescent="0.2">
      <c r="A32" s="3" t="s">
        <v>11</v>
      </c>
      <c r="B32" s="12">
        <v>5848</v>
      </c>
      <c r="C32" s="11">
        <v>45670</v>
      </c>
      <c r="D32" s="12" t="s">
        <v>49</v>
      </c>
      <c r="E32" s="36" t="s">
        <v>29</v>
      </c>
      <c r="F32" s="9" t="s">
        <v>121</v>
      </c>
      <c r="G32" s="21">
        <v>411.53</v>
      </c>
      <c r="H32" s="35"/>
      <c r="I32" s="35"/>
    </row>
    <row r="33" spans="1:9" x14ac:dyDescent="0.2">
      <c r="A33" s="3" t="s">
        <v>11</v>
      </c>
      <c r="B33" s="12">
        <v>84233</v>
      </c>
      <c r="C33" s="11">
        <v>45686</v>
      </c>
      <c r="D33" s="12" t="s">
        <v>17</v>
      </c>
      <c r="E33" s="36" t="s">
        <v>60</v>
      </c>
      <c r="F33" s="9" t="s">
        <v>122</v>
      </c>
      <c r="G33" s="21">
        <v>840.86</v>
      </c>
      <c r="H33" s="35"/>
      <c r="I33" s="35"/>
    </row>
    <row r="34" spans="1:9" x14ac:dyDescent="0.2">
      <c r="A34" s="26" t="s">
        <v>11</v>
      </c>
      <c r="B34" s="22">
        <v>3537</v>
      </c>
      <c r="C34" s="23">
        <v>45705</v>
      </c>
      <c r="D34" s="22" t="s">
        <v>123</v>
      </c>
      <c r="E34" s="36" t="s">
        <v>71</v>
      </c>
      <c r="F34" s="24" t="s">
        <v>124</v>
      </c>
      <c r="G34" s="25">
        <v>167.56</v>
      </c>
      <c r="H34" s="35"/>
      <c r="I34" s="35"/>
    </row>
    <row r="35" spans="1:9" x14ac:dyDescent="0.2">
      <c r="A35" s="26" t="s">
        <v>11</v>
      </c>
      <c r="B35" s="22">
        <v>4017</v>
      </c>
      <c r="C35" s="23">
        <v>45700</v>
      </c>
      <c r="D35" s="22" t="s">
        <v>33</v>
      </c>
      <c r="E35" s="36" t="s">
        <v>151</v>
      </c>
      <c r="F35" s="24" t="s">
        <v>119</v>
      </c>
      <c r="G35" s="25">
        <v>1332.32</v>
      </c>
      <c r="H35" s="35"/>
      <c r="I35" s="35"/>
    </row>
    <row r="36" spans="1:9" x14ac:dyDescent="0.2">
      <c r="A36" s="26" t="s">
        <v>11</v>
      </c>
      <c r="B36" s="22">
        <v>19665</v>
      </c>
      <c r="C36" s="23">
        <v>45747</v>
      </c>
      <c r="D36" s="22" t="s">
        <v>35</v>
      </c>
      <c r="E36" s="36" t="s">
        <v>153</v>
      </c>
      <c r="F36" s="24" t="s">
        <v>125</v>
      </c>
      <c r="G36" s="25">
        <v>104.29</v>
      </c>
      <c r="H36" s="35"/>
      <c r="I36" s="35"/>
    </row>
    <row r="37" spans="1:9" x14ac:dyDescent="0.2">
      <c r="A37" s="26" t="s">
        <v>11</v>
      </c>
      <c r="B37" s="22">
        <v>25241</v>
      </c>
      <c r="C37" s="23">
        <v>45770</v>
      </c>
      <c r="D37" s="22" t="s">
        <v>89</v>
      </c>
      <c r="E37" s="40" t="s">
        <v>152</v>
      </c>
      <c r="F37" s="24" t="s">
        <v>126</v>
      </c>
      <c r="G37" s="25">
        <v>100.61</v>
      </c>
      <c r="H37" s="35"/>
      <c r="I37" s="35"/>
    </row>
    <row r="38" spans="1:9" x14ac:dyDescent="0.2">
      <c r="A38" s="26" t="s">
        <v>11</v>
      </c>
      <c r="B38" s="22">
        <v>19665</v>
      </c>
      <c r="C38" s="23">
        <v>45747</v>
      </c>
      <c r="D38" s="22" t="s">
        <v>35</v>
      </c>
      <c r="E38" s="36" t="s">
        <v>29</v>
      </c>
      <c r="F38" s="24" t="s">
        <v>125</v>
      </c>
      <c r="G38" s="25">
        <v>104.29</v>
      </c>
      <c r="H38" s="35"/>
      <c r="I38" s="35"/>
    </row>
    <row r="39" spans="1:9" x14ac:dyDescent="0.2">
      <c r="A39" s="26" t="s">
        <v>11</v>
      </c>
      <c r="B39" s="22">
        <v>47264</v>
      </c>
      <c r="C39" s="23">
        <v>45770</v>
      </c>
      <c r="D39" s="22" t="s">
        <v>38</v>
      </c>
      <c r="E39" s="36" t="s">
        <v>60</v>
      </c>
      <c r="F39" s="24" t="s">
        <v>127</v>
      </c>
      <c r="G39" s="25">
        <v>260.45</v>
      </c>
      <c r="H39" s="35"/>
      <c r="I39" s="35"/>
    </row>
    <row r="40" spans="1:9" x14ac:dyDescent="0.2">
      <c r="A40" s="26" t="s">
        <v>11</v>
      </c>
      <c r="B40" s="22">
        <v>27987</v>
      </c>
      <c r="C40" s="23">
        <v>45769</v>
      </c>
      <c r="D40" s="22" t="s">
        <v>85</v>
      </c>
      <c r="E40" s="36" t="s">
        <v>71</v>
      </c>
      <c r="F40" s="24" t="s">
        <v>128</v>
      </c>
      <c r="G40" s="25">
        <v>1551.18</v>
      </c>
      <c r="H40" s="35"/>
      <c r="I40" s="35"/>
    </row>
    <row r="41" spans="1:9" x14ac:dyDescent="0.2">
      <c r="A41" s="26" t="s">
        <v>11</v>
      </c>
      <c r="B41" s="22">
        <v>27988</v>
      </c>
      <c r="C41" s="23">
        <v>45769</v>
      </c>
      <c r="D41" s="22" t="s">
        <v>85</v>
      </c>
      <c r="E41" s="36" t="s">
        <v>151</v>
      </c>
      <c r="F41" s="24" t="s">
        <v>128</v>
      </c>
      <c r="G41" s="25">
        <v>8.19</v>
      </c>
      <c r="H41" s="35"/>
      <c r="I41" s="35"/>
    </row>
    <row r="42" spans="1:9" x14ac:dyDescent="0.2">
      <c r="A42" s="26" t="s">
        <v>11</v>
      </c>
      <c r="B42" s="22">
        <v>9751</v>
      </c>
      <c r="C42" s="23">
        <v>45807</v>
      </c>
      <c r="D42" s="22" t="s">
        <v>16</v>
      </c>
      <c r="E42" s="36" t="s">
        <v>153</v>
      </c>
      <c r="F42" s="24" t="s">
        <v>103</v>
      </c>
      <c r="G42" s="25">
        <v>134.41999999999999</v>
      </c>
      <c r="H42" s="35"/>
      <c r="I42" s="35"/>
    </row>
    <row r="43" spans="1:9" x14ac:dyDescent="0.2">
      <c r="A43" s="26" t="s">
        <v>11</v>
      </c>
      <c r="B43" s="22">
        <v>4729</v>
      </c>
      <c r="C43" s="23">
        <v>45810</v>
      </c>
      <c r="D43" s="22" t="s">
        <v>129</v>
      </c>
      <c r="E43" s="40" t="s">
        <v>152</v>
      </c>
      <c r="F43" s="24" t="s">
        <v>119</v>
      </c>
      <c r="G43" s="25">
        <v>137.4</v>
      </c>
      <c r="H43" s="35"/>
      <c r="I43" s="35"/>
    </row>
    <row r="44" spans="1:9" x14ac:dyDescent="0.2">
      <c r="A44" s="26" t="s">
        <v>11</v>
      </c>
      <c r="B44" s="22">
        <v>736</v>
      </c>
      <c r="C44" s="23">
        <v>45826</v>
      </c>
      <c r="D44" s="22" t="s">
        <v>41</v>
      </c>
      <c r="E44" s="36" t="s">
        <v>29</v>
      </c>
      <c r="F44" s="24" t="s">
        <v>130</v>
      </c>
      <c r="G44" s="25">
        <v>137.57</v>
      </c>
      <c r="H44" s="35"/>
      <c r="I44" s="35"/>
    </row>
    <row r="45" spans="1:9" x14ac:dyDescent="0.2">
      <c r="A45" s="26" t="s">
        <v>11</v>
      </c>
      <c r="B45" s="22">
        <v>9388</v>
      </c>
      <c r="C45" s="23">
        <v>45782</v>
      </c>
      <c r="D45" s="22" t="s">
        <v>26</v>
      </c>
      <c r="E45" s="36" t="s">
        <v>60</v>
      </c>
      <c r="F45" s="24" t="s">
        <v>103</v>
      </c>
      <c r="G45" s="25">
        <v>133.03</v>
      </c>
      <c r="H45" s="35"/>
      <c r="I45" s="35"/>
    </row>
    <row r="46" spans="1:9" x14ac:dyDescent="0.2">
      <c r="A46" s="26" t="s">
        <v>11</v>
      </c>
      <c r="B46" s="22">
        <v>34330</v>
      </c>
      <c r="C46" s="23">
        <v>45798</v>
      </c>
      <c r="D46" s="22" t="s">
        <v>131</v>
      </c>
      <c r="E46" s="36" t="s">
        <v>71</v>
      </c>
      <c r="F46" s="24" t="s">
        <v>132</v>
      </c>
      <c r="G46" s="25">
        <v>669.82</v>
      </c>
      <c r="H46" s="35"/>
      <c r="I46" s="35"/>
    </row>
    <row r="47" spans="1:9" x14ac:dyDescent="0.2">
      <c r="A47" s="26" t="s">
        <v>11</v>
      </c>
      <c r="B47" s="22">
        <v>19370</v>
      </c>
      <c r="C47" s="23">
        <v>45782</v>
      </c>
      <c r="D47" s="22" t="s">
        <v>24</v>
      </c>
      <c r="E47" s="36" t="s">
        <v>151</v>
      </c>
      <c r="F47" s="24" t="s">
        <v>106</v>
      </c>
      <c r="G47" s="25">
        <v>134.13999999999999</v>
      </c>
      <c r="H47" s="35"/>
      <c r="I47" s="35"/>
    </row>
    <row r="48" spans="1:9" x14ac:dyDescent="0.2">
      <c r="A48" s="26" t="s">
        <v>11</v>
      </c>
      <c r="B48" s="22">
        <v>9614</v>
      </c>
      <c r="C48" s="23">
        <v>45798</v>
      </c>
      <c r="D48" s="22" t="s">
        <v>16</v>
      </c>
      <c r="E48" s="36" t="s">
        <v>153</v>
      </c>
      <c r="F48" s="24" t="s">
        <v>103</v>
      </c>
      <c r="G48" s="25">
        <v>365.99</v>
      </c>
      <c r="H48" s="35"/>
      <c r="I48" s="35"/>
    </row>
    <row r="49" spans="1:9" x14ac:dyDescent="0.2">
      <c r="A49" s="26" t="s">
        <v>11</v>
      </c>
      <c r="B49" s="22">
        <v>352610</v>
      </c>
      <c r="C49" s="23">
        <v>45793</v>
      </c>
      <c r="D49" s="22" t="s">
        <v>74</v>
      </c>
      <c r="E49" s="40" t="s">
        <v>152</v>
      </c>
      <c r="F49" s="24" t="s">
        <v>133</v>
      </c>
      <c r="G49" s="25">
        <v>319.60000000000002</v>
      </c>
      <c r="H49" s="35"/>
      <c r="I49" s="35"/>
    </row>
    <row r="50" spans="1:9" x14ac:dyDescent="0.2">
      <c r="A50" s="26" t="s">
        <v>11</v>
      </c>
      <c r="B50" s="22">
        <v>352611</v>
      </c>
      <c r="C50" s="23">
        <v>45793</v>
      </c>
      <c r="D50" s="22" t="s">
        <v>74</v>
      </c>
      <c r="E50" s="36" t="s">
        <v>29</v>
      </c>
      <c r="F50" s="24" t="s">
        <v>133</v>
      </c>
      <c r="G50" s="25">
        <v>10259.780000000001</v>
      </c>
      <c r="H50" s="35"/>
      <c r="I50" s="35"/>
    </row>
    <row r="51" spans="1:9" x14ac:dyDescent="0.2">
      <c r="A51" s="26" t="s">
        <v>11</v>
      </c>
      <c r="B51" s="22">
        <v>48466</v>
      </c>
      <c r="C51" s="23">
        <v>45848</v>
      </c>
      <c r="D51" s="22" t="s">
        <v>38</v>
      </c>
      <c r="E51" s="36" t="s">
        <v>60</v>
      </c>
      <c r="F51" s="24" t="s">
        <v>127</v>
      </c>
      <c r="G51" s="25">
        <v>173.25</v>
      </c>
      <c r="H51" s="35"/>
      <c r="I51" s="35"/>
    </row>
    <row r="52" spans="1:9" x14ac:dyDescent="0.2">
      <c r="A52" s="26" t="s">
        <v>11</v>
      </c>
      <c r="B52" s="22">
        <v>72815</v>
      </c>
      <c r="C52" s="23">
        <v>45848</v>
      </c>
      <c r="D52" s="22" t="s">
        <v>38</v>
      </c>
      <c r="E52" s="36" t="s">
        <v>71</v>
      </c>
      <c r="F52" s="24" t="s">
        <v>134</v>
      </c>
      <c r="G52" s="25">
        <v>83.71</v>
      </c>
      <c r="H52" s="35"/>
      <c r="I52" s="35"/>
    </row>
    <row r="53" spans="1:9" x14ac:dyDescent="0.2">
      <c r="A53" s="26" t="s">
        <v>11</v>
      </c>
      <c r="B53" s="22">
        <v>25382</v>
      </c>
      <c r="C53" s="23">
        <v>45745</v>
      </c>
      <c r="D53" s="22" t="s">
        <v>39</v>
      </c>
      <c r="E53" s="36" t="s">
        <v>151</v>
      </c>
      <c r="F53" s="24" t="s">
        <v>135</v>
      </c>
      <c r="G53" s="25">
        <v>398.29</v>
      </c>
      <c r="H53" s="35"/>
      <c r="I53" s="35"/>
    </row>
    <row r="54" spans="1:9" x14ac:dyDescent="0.2">
      <c r="A54" s="26" t="s">
        <v>11</v>
      </c>
      <c r="B54" s="22">
        <v>302498</v>
      </c>
      <c r="C54" s="23">
        <v>45859</v>
      </c>
      <c r="D54" s="22" t="s">
        <v>31</v>
      </c>
      <c r="E54" s="36" t="s">
        <v>153</v>
      </c>
      <c r="F54" s="24" t="s">
        <v>113</v>
      </c>
      <c r="G54" s="25">
        <v>1454.09</v>
      </c>
      <c r="H54" s="35"/>
      <c r="I54" s="35"/>
    </row>
    <row r="55" spans="1:9" x14ac:dyDescent="0.2">
      <c r="A55" s="26" t="s">
        <v>11</v>
      </c>
      <c r="B55" s="22">
        <v>301262</v>
      </c>
      <c r="C55" s="23">
        <v>45849</v>
      </c>
      <c r="D55" s="22" t="s">
        <v>31</v>
      </c>
      <c r="E55" s="40" t="s">
        <v>152</v>
      </c>
      <c r="F55" s="24" t="s">
        <v>113</v>
      </c>
      <c r="G55" s="25">
        <v>1616.57</v>
      </c>
      <c r="H55" s="35"/>
      <c r="I55" s="35"/>
    </row>
    <row r="56" spans="1:9" x14ac:dyDescent="0.2">
      <c r="A56" s="26" t="s">
        <v>11</v>
      </c>
      <c r="B56" s="22">
        <v>3489990</v>
      </c>
      <c r="C56" s="23">
        <v>45804</v>
      </c>
      <c r="D56" s="22" t="s">
        <v>74</v>
      </c>
      <c r="E56" s="36" t="s">
        <v>29</v>
      </c>
      <c r="F56" s="24" t="s">
        <v>110</v>
      </c>
      <c r="G56" s="25">
        <v>8071.44</v>
      </c>
      <c r="H56" s="35"/>
      <c r="I56" s="35"/>
    </row>
    <row r="57" spans="1:9" x14ac:dyDescent="0.2">
      <c r="A57" s="26" t="s">
        <v>11</v>
      </c>
      <c r="B57" s="22">
        <v>79434</v>
      </c>
      <c r="C57" s="23">
        <v>45859</v>
      </c>
      <c r="D57" s="22" t="s">
        <v>36</v>
      </c>
      <c r="E57" s="36" t="s">
        <v>60</v>
      </c>
      <c r="F57" s="24" t="s">
        <v>136</v>
      </c>
      <c r="G57" s="25">
        <v>49.61</v>
      </c>
      <c r="H57" s="35"/>
      <c r="I57" s="35"/>
    </row>
    <row r="58" spans="1:9" x14ac:dyDescent="0.2">
      <c r="A58" s="26" t="s">
        <v>11</v>
      </c>
      <c r="B58" s="22">
        <v>172961</v>
      </c>
      <c r="C58" s="23">
        <v>45855</v>
      </c>
      <c r="D58" s="22" t="s">
        <v>22</v>
      </c>
      <c r="E58" s="36" t="s">
        <v>71</v>
      </c>
      <c r="F58" s="24" t="s">
        <v>137</v>
      </c>
      <c r="G58" s="25">
        <v>570.54999999999995</v>
      </c>
      <c r="H58" s="35"/>
      <c r="I58" s="35"/>
    </row>
    <row r="59" spans="1:9" x14ac:dyDescent="0.2">
      <c r="A59" s="26" t="s">
        <v>11</v>
      </c>
      <c r="B59" s="22">
        <v>5284</v>
      </c>
      <c r="C59" s="23">
        <v>45860</v>
      </c>
      <c r="D59" s="22" t="s">
        <v>34</v>
      </c>
      <c r="E59" s="36" t="s">
        <v>151</v>
      </c>
      <c r="F59" s="24" t="s">
        <v>138</v>
      </c>
      <c r="G59" s="25">
        <v>222.02</v>
      </c>
      <c r="H59" s="35"/>
      <c r="I59" s="35"/>
    </row>
    <row r="60" spans="1:9" x14ac:dyDescent="0.2">
      <c r="A60" s="26" t="s">
        <v>11</v>
      </c>
      <c r="B60" s="22">
        <v>47721</v>
      </c>
      <c r="C60" s="23">
        <v>45854</v>
      </c>
      <c r="D60" s="22" t="s">
        <v>58</v>
      </c>
      <c r="E60" s="36" t="s">
        <v>153</v>
      </c>
      <c r="F60" s="24" t="s">
        <v>139</v>
      </c>
      <c r="G60" s="25">
        <v>755.92</v>
      </c>
      <c r="H60" s="35"/>
      <c r="I60" s="35"/>
    </row>
    <row r="61" spans="1:9" x14ac:dyDescent="0.2">
      <c r="A61" s="26" t="s">
        <v>11</v>
      </c>
      <c r="B61" s="22">
        <v>46332</v>
      </c>
      <c r="C61" s="23">
        <v>45826</v>
      </c>
      <c r="D61" s="22" t="s">
        <v>140</v>
      </c>
      <c r="E61" s="40" t="s">
        <v>152</v>
      </c>
      <c r="F61" s="24" t="s">
        <v>141</v>
      </c>
      <c r="G61" s="25">
        <v>237.64</v>
      </c>
      <c r="H61" s="35"/>
      <c r="I61" s="35"/>
    </row>
    <row r="62" spans="1:9" x14ac:dyDescent="0.2">
      <c r="A62" s="26" t="s">
        <v>11</v>
      </c>
      <c r="B62" s="22">
        <v>21408</v>
      </c>
      <c r="C62" s="23">
        <v>45826</v>
      </c>
      <c r="D62" s="22" t="s">
        <v>140</v>
      </c>
      <c r="E62" s="36" t="s">
        <v>29</v>
      </c>
      <c r="F62" s="24" t="s">
        <v>142</v>
      </c>
      <c r="G62" s="25">
        <v>326.79000000000002</v>
      </c>
      <c r="H62" s="35"/>
      <c r="I62" s="35"/>
    </row>
    <row r="63" spans="1:9" x14ac:dyDescent="0.2">
      <c r="A63" s="26" t="s">
        <v>11</v>
      </c>
      <c r="B63" s="22">
        <v>86670</v>
      </c>
      <c r="C63" s="23">
        <v>45826</v>
      </c>
      <c r="D63" s="22" t="s">
        <v>140</v>
      </c>
      <c r="E63" s="36" t="s">
        <v>60</v>
      </c>
      <c r="F63" s="24" t="s">
        <v>122</v>
      </c>
      <c r="G63" s="25">
        <v>364.49</v>
      </c>
      <c r="H63" s="35"/>
      <c r="I63" s="35"/>
    </row>
    <row r="64" spans="1:9" x14ac:dyDescent="0.2">
      <c r="A64" s="26" t="s">
        <v>11</v>
      </c>
      <c r="B64" s="22">
        <v>26715</v>
      </c>
      <c r="C64" s="23">
        <v>45740</v>
      </c>
      <c r="D64" s="22" t="s">
        <v>140</v>
      </c>
      <c r="E64" s="36" t="s">
        <v>71</v>
      </c>
      <c r="F64" s="24" t="s">
        <v>143</v>
      </c>
      <c r="G64" s="25">
        <v>279.36</v>
      </c>
      <c r="H64" s="35"/>
      <c r="I64" s="35"/>
    </row>
    <row r="65" spans="1:9" x14ac:dyDescent="0.2">
      <c r="A65" s="26" t="s">
        <v>11</v>
      </c>
      <c r="B65" s="22">
        <v>85197</v>
      </c>
      <c r="C65" s="23">
        <v>45737</v>
      </c>
      <c r="D65" s="22" t="s">
        <v>140</v>
      </c>
      <c r="E65" s="36" t="s">
        <v>151</v>
      </c>
      <c r="F65" s="24" t="s">
        <v>122</v>
      </c>
      <c r="G65" s="25">
        <v>83.83</v>
      </c>
      <c r="H65" s="35"/>
      <c r="I65" s="35"/>
    </row>
    <row r="66" spans="1:9" x14ac:dyDescent="0.2">
      <c r="A66" s="26" t="s">
        <v>11</v>
      </c>
      <c r="B66" s="22">
        <v>84233</v>
      </c>
      <c r="C66" s="23">
        <v>45686</v>
      </c>
      <c r="D66" s="22" t="s">
        <v>140</v>
      </c>
      <c r="E66" s="36" t="s">
        <v>153</v>
      </c>
      <c r="F66" s="24" t="s">
        <v>122</v>
      </c>
      <c r="G66" s="25">
        <v>840.86</v>
      </c>
      <c r="H66" s="35"/>
      <c r="I66" s="35"/>
    </row>
    <row r="67" spans="1:9" x14ac:dyDescent="0.2">
      <c r="A67" s="26" t="s">
        <v>11</v>
      </c>
      <c r="B67" s="22">
        <v>24374</v>
      </c>
      <c r="C67" s="23">
        <v>45663</v>
      </c>
      <c r="D67" s="22" t="s">
        <v>140</v>
      </c>
      <c r="E67" s="40" t="s">
        <v>152</v>
      </c>
      <c r="F67" s="24" t="s">
        <v>143</v>
      </c>
      <c r="G67" s="25">
        <v>1023.46</v>
      </c>
      <c r="H67" s="35"/>
      <c r="I67" s="35"/>
    </row>
    <row r="68" spans="1:9" x14ac:dyDescent="0.2">
      <c r="A68" s="26" t="s">
        <v>11</v>
      </c>
      <c r="B68" s="22">
        <v>3729515</v>
      </c>
      <c r="C68" s="23">
        <v>45870</v>
      </c>
      <c r="D68" s="22" t="s">
        <v>144</v>
      </c>
      <c r="E68" s="36" t="s">
        <v>29</v>
      </c>
      <c r="F68" s="24" t="s">
        <v>110</v>
      </c>
      <c r="G68" s="25">
        <v>5801.38</v>
      </c>
      <c r="H68" s="35"/>
      <c r="I68" s="35"/>
    </row>
    <row r="69" spans="1:9" x14ac:dyDescent="0.2">
      <c r="A69" s="26" t="s">
        <v>11</v>
      </c>
      <c r="B69" s="22">
        <v>3703652</v>
      </c>
      <c r="C69" s="23">
        <v>45863</v>
      </c>
      <c r="D69" s="22" t="s">
        <v>144</v>
      </c>
      <c r="E69" s="36" t="s">
        <v>60</v>
      </c>
      <c r="F69" s="24" t="s">
        <v>110</v>
      </c>
      <c r="G69" s="25">
        <v>1962.4</v>
      </c>
      <c r="H69" s="35"/>
      <c r="I69" s="35"/>
    </row>
    <row r="70" spans="1:9" x14ac:dyDescent="0.2">
      <c r="A70" s="26" t="s">
        <v>11</v>
      </c>
      <c r="B70" s="22">
        <v>21312</v>
      </c>
      <c r="C70" s="23">
        <v>45835</v>
      </c>
      <c r="D70" s="22" t="s">
        <v>53</v>
      </c>
      <c r="E70" s="36" t="s">
        <v>71</v>
      </c>
      <c r="F70" s="24" t="s">
        <v>106</v>
      </c>
      <c r="G70" s="25">
        <v>2026.07</v>
      </c>
      <c r="H70" s="35"/>
      <c r="I70" s="35"/>
    </row>
    <row r="71" spans="1:9" x14ac:dyDescent="0.2">
      <c r="A71" s="26" t="s">
        <v>11</v>
      </c>
      <c r="B71" s="22">
        <v>5108</v>
      </c>
      <c r="C71" s="23">
        <v>45832</v>
      </c>
      <c r="D71" s="22" t="s">
        <v>64</v>
      </c>
      <c r="E71" s="36" t="s">
        <v>151</v>
      </c>
      <c r="F71" s="24" t="s">
        <v>138</v>
      </c>
      <c r="G71" s="25">
        <v>226.03</v>
      </c>
      <c r="H71" s="35"/>
      <c r="I71" s="35"/>
    </row>
    <row r="72" spans="1:9" x14ac:dyDescent="0.2">
      <c r="A72" s="26" t="s">
        <v>11</v>
      </c>
      <c r="B72" s="22">
        <v>87893</v>
      </c>
      <c r="C72" s="23">
        <v>45903</v>
      </c>
      <c r="D72" s="22" t="s">
        <v>17</v>
      </c>
      <c r="E72" s="36" t="s">
        <v>153</v>
      </c>
      <c r="F72" s="24" t="s">
        <v>122</v>
      </c>
      <c r="G72" s="25">
        <v>64.23</v>
      </c>
      <c r="H72" s="35"/>
      <c r="I72" s="35"/>
    </row>
    <row r="73" spans="1:9" x14ac:dyDescent="0.2">
      <c r="A73" s="26" t="s">
        <v>11</v>
      </c>
      <c r="B73" s="22">
        <v>492990</v>
      </c>
      <c r="C73" s="23">
        <v>45904</v>
      </c>
      <c r="D73" s="22" t="s">
        <v>116</v>
      </c>
      <c r="E73" s="40" t="s">
        <v>152</v>
      </c>
      <c r="F73" s="24" t="s">
        <v>117</v>
      </c>
      <c r="G73" s="25">
        <v>1817.4</v>
      </c>
      <c r="H73" s="35"/>
      <c r="I73" s="35"/>
    </row>
    <row r="74" spans="1:9" x14ac:dyDescent="0.2">
      <c r="A74" s="26" t="s">
        <v>11</v>
      </c>
      <c r="B74" s="22">
        <v>6617</v>
      </c>
      <c r="C74" s="23">
        <v>45915</v>
      </c>
      <c r="D74" s="22" t="s">
        <v>49</v>
      </c>
      <c r="E74" s="36" t="s">
        <v>29</v>
      </c>
      <c r="F74" s="24" t="s">
        <v>121</v>
      </c>
      <c r="G74" s="25">
        <v>482.91</v>
      </c>
      <c r="H74" s="35"/>
      <c r="I74" s="35"/>
    </row>
    <row r="75" spans="1:9" x14ac:dyDescent="0.2">
      <c r="A75" s="3" t="s">
        <v>11</v>
      </c>
      <c r="B75" s="12">
        <v>6667</v>
      </c>
      <c r="C75" s="11">
        <v>45928</v>
      </c>
      <c r="D75" s="12" t="s">
        <v>49</v>
      </c>
      <c r="E75" s="36" t="s">
        <v>60</v>
      </c>
      <c r="F75" s="24" t="s">
        <v>121</v>
      </c>
      <c r="G75" s="21">
        <v>405.6</v>
      </c>
      <c r="H75" s="35"/>
      <c r="I75" s="35"/>
    </row>
    <row r="76" spans="1:9" x14ac:dyDescent="0.2">
      <c r="A76" s="26" t="s">
        <v>11</v>
      </c>
      <c r="B76" s="22">
        <v>36527</v>
      </c>
      <c r="C76" s="23">
        <v>45925</v>
      </c>
      <c r="D76" s="22" t="s">
        <v>131</v>
      </c>
      <c r="E76" s="36" t="s">
        <v>71</v>
      </c>
      <c r="F76" s="24" t="s">
        <v>132</v>
      </c>
      <c r="G76" s="25">
        <v>622.09</v>
      </c>
      <c r="H76" s="35"/>
      <c r="I76" s="35"/>
    </row>
    <row r="77" spans="1:9" x14ac:dyDescent="0.2">
      <c r="A77" s="26" t="s">
        <v>11</v>
      </c>
      <c r="B77" s="22">
        <v>21615</v>
      </c>
      <c r="C77" s="23">
        <v>45908</v>
      </c>
      <c r="D77" s="22" t="s">
        <v>35</v>
      </c>
      <c r="E77" s="36" t="s">
        <v>151</v>
      </c>
      <c r="F77" s="24" t="s">
        <v>145</v>
      </c>
      <c r="G77" s="25">
        <v>531.71</v>
      </c>
      <c r="H77" s="35"/>
      <c r="I77" s="35"/>
    </row>
    <row r="78" spans="1:9" x14ac:dyDescent="0.2">
      <c r="A78" s="26" t="s">
        <v>11</v>
      </c>
      <c r="B78" s="22">
        <v>79815</v>
      </c>
      <c r="C78" s="23">
        <v>45882</v>
      </c>
      <c r="D78" s="22" t="s">
        <v>36</v>
      </c>
      <c r="E78" s="36" t="s">
        <v>153</v>
      </c>
      <c r="F78" s="24" t="s">
        <v>136</v>
      </c>
      <c r="G78" s="25">
        <v>84</v>
      </c>
      <c r="H78" s="35"/>
      <c r="I78" s="35"/>
    </row>
    <row r="79" spans="1:9" x14ac:dyDescent="0.2">
      <c r="A79" s="26" t="s">
        <v>11</v>
      </c>
      <c r="B79" s="22">
        <v>80514</v>
      </c>
      <c r="C79" s="23">
        <v>45925</v>
      </c>
      <c r="D79" s="22" t="s">
        <v>36</v>
      </c>
      <c r="E79" s="40" t="s">
        <v>152</v>
      </c>
      <c r="F79" s="24" t="s">
        <v>136</v>
      </c>
      <c r="G79" s="25">
        <v>983.36</v>
      </c>
      <c r="H79" s="35"/>
      <c r="I79" s="35"/>
    </row>
    <row r="80" spans="1:9" x14ac:dyDescent="0.2">
      <c r="A80" s="26" t="s">
        <v>11</v>
      </c>
      <c r="B80" s="22">
        <v>80257</v>
      </c>
      <c r="C80" s="23">
        <v>45912</v>
      </c>
      <c r="D80" s="22" t="s">
        <v>36</v>
      </c>
      <c r="E80" s="40" t="s">
        <v>152</v>
      </c>
      <c r="F80" s="24" t="s">
        <v>136</v>
      </c>
      <c r="G80" s="25">
        <v>128.38</v>
      </c>
      <c r="H80" s="35"/>
      <c r="I80" s="35"/>
    </row>
    <row r="81" spans="1:9" x14ac:dyDescent="0.2">
      <c r="A81" s="3" t="s">
        <v>11</v>
      </c>
      <c r="B81" s="12">
        <v>15716</v>
      </c>
      <c r="C81" s="11">
        <v>45940</v>
      </c>
      <c r="D81" s="12" t="s">
        <v>21</v>
      </c>
      <c r="E81" s="40" t="s">
        <v>152</v>
      </c>
      <c r="F81" s="9" t="s">
        <v>146</v>
      </c>
      <c r="G81" s="21">
        <v>2096.6799999999998</v>
      </c>
      <c r="H81" s="35"/>
      <c r="I81" s="35"/>
    </row>
  </sheetData>
  <autoFilter ref="A1:I81" xr:uid="{082DBCAF-BA68-493D-8575-94E57316F83C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E1375-07DB-4C95-8CBC-8D5904CE6AFC}">
  <dimension ref="A1:H165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4.1640625" bestFit="1" customWidth="1"/>
    <col min="2" max="2" width="27.1640625" bestFit="1" customWidth="1"/>
    <col min="3" max="3" width="27.1640625" customWidth="1"/>
    <col min="4" max="4" width="33.1640625" bestFit="1" customWidth="1"/>
    <col min="5" max="5" width="13.6640625" bestFit="1" customWidth="1"/>
    <col min="6" max="6" width="11.6640625" bestFit="1" customWidth="1"/>
    <col min="7" max="7" width="13.1640625" bestFit="1" customWidth="1"/>
    <col min="8" max="8" width="12.6640625" bestFit="1" customWidth="1"/>
    <col min="9" max="9" width="8.6640625" customWidth="1"/>
  </cols>
  <sheetData>
    <row r="1" spans="1:8" x14ac:dyDescent="0.2">
      <c r="A1" s="19" t="s">
        <v>7</v>
      </c>
      <c r="B1" s="19" t="s">
        <v>1</v>
      </c>
      <c r="C1" s="19" t="s">
        <v>6</v>
      </c>
      <c r="D1" s="19" t="s">
        <v>8</v>
      </c>
      <c r="E1" s="19" t="s">
        <v>9</v>
      </c>
      <c r="F1" s="20" t="s">
        <v>3</v>
      </c>
      <c r="G1" s="19" t="s">
        <v>10</v>
      </c>
      <c r="H1" s="27" t="s">
        <v>5</v>
      </c>
    </row>
    <row r="2" spans="1:8" x14ac:dyDescent="0.2">
      <c r="A2" s="3">
        <v>4965</v>
      </c>
      <c r="B2" s="3" t="s">
        <v>12</v>
      </c>
      <c r="C2" s="36" t="s">
        <v>29</v>
      </c>
      <c r="D2" s="3">
        <v>6133</v>
      </c>
      <c r="E2" s="3"/>
      <c r="F2" s="4"/>
      <c r="G2" s="3"/>
      <c r="H2" s="2"/>
    </row>
    <row r="3" spans="1:8" x14ac:dyDescent="0.2">
      <c r="A3" s="3">
        <v>12672</v>
      </c>
      <c r="B3" s="3" t="s">
        <v>13</v>
      </c>
      <c r="C3" s="36" t="s">
        <v>60</v>
      </c>
      <c r="D3" s="3">
        <v>4483</v>
      </c>
      <c r="E3" s="3"/>
      <c r="F3" s="4"/>
      <c r="G3" s="3"/>
      <c r="H3" s="2"/>
    </row>
    <row r="4" spans="1:8" x14ac:dyDescent="0.2">
      <c r="A4" s="3">
        <v>146788</v>
      </c>
      <c r="B4" s="3" t="s">
        <v>14</v>
      </c>
      <c r="C4" s="36" t="s">
        <v>71</v>
      </c>
      <c r="D4" s="3">
        <v>4479</v>
      </c>
      <c r="E4" s="3"/>
      <c r="F4" s="4"/>
      <c r="G4" s="3"/>
      <c r="H4" s="2"/>
    </row>
    <row r="5" spans="1:8" x14ac:dyDescent="0.2">
      <c r="A5" s="3">
        <v>38986</v>
      </c>
      <c r="B5" s="3" t="s">
        <v>15</v>
      </c>
      <c r="C5" s="36" t="s">
        <v>151</v>
      </c>
      <c r="D5" s="3">
        <v>3166</v>
      </c>
      <c r="E5" s="3"/>
      <c r="F5" s="4"/>
      <c r="G5" s="3"/>
      <c r="H5" s="2"/>
    </row>
    <row r="6" spans="1:8" x14ac:dyDescent="0.2">
      <c r="A6" s="3">
        <v>39990</v>
      </c>
      <c r="B6" s="3" t="s">
        <v>15</v>
      </c>
      <c r="C6" s="36" t="s">
        <v>153</v>
      </c>
      <c r="D6" s="3">
        <v>6826</v>
      </c>
      <c r="E6" s="3"/>
      <c r="F6" s="4"/>
      <c r="G6" s="3"/>
      <c r="H6" s="2"/>
    </row>
    <row r="7" spans="1:8" x14ac:dyDescent="0.2">
      <c r="A7" s="3">
        <v>2630</v>
      </c>
      <c r="B7" s="3" t="s">
        <v>16</v>
      </c>
      <c r="C7" s="40" t="s">
        <v>152</v>
      </c>
      <c r="D7" s="3">
        <v>6960</v>
      </c>
      <c r="E7" s="3"/>
      <c r="F7" s="4"/>
      <c r="G7" s="3"/>
      <c r="H7" s="2"/>
    </row>
    <row r="8" spans="1:8" x14ac:dyDescent="0.2">
      <c r="A8" s="3">
        <v>2631</v>
      </c>
      <c r="B8" s="3" t="s">
        <v>16</v>
      </c>
      <c r="C8" s="36" t="s">
        <v>29</v>
      </c>
      <c r="D8" s="3">
        <v>6960</v>
      </c>
      <c r="E8" s="3"/>
      <c r="F8" s="4"/>
      <c r="G8" s="3"/>
      <c r="H8" s="2"/>
    </row>
    <row r="9" spans="1:8" x14ac:dyDescent="0.2">
      <c r="A9" s="3">
        <v>67478</v>
      </c>
      <c r="B9" s="3" t="s">
        <v>15</v>
      </c>
      <c r="C9" s="36" t="s">
        <v>60</v>
      </c>
      <c r="D9" s="3">
        <v>9476</v>
      </c>
      <c r="E9" s="3"/>
      <c r="F9" s="4"/>
      <c r="G9" s="3"/>
      <c r="H9" s="2"/>
    </row>
    <row r="10" spans="1:8" x14ac:dyDescent="0.2">
      <c r="A10" s="3">
        <v>75127</v>
      </c>
      <c r="B10" s="3" t="s">
        <v>17</v>
      </c>
      <c r="C10" s="36" t="s">
        <v>71</v>
      </c>
      <c r="D10" s="3">
        <v>4460</v>
      </c>
      <c r="E10" s="3"/>
      <c r="F10" s="4"/>
      <c r="G10" s="3"/>
      <c r="H10" s="2"/>
    </row>
    <row r="11" spans="1:8" x14ac:dyDescent="0.2">
      <c r="A11" s="3">
        <v>147609</v>
      </c>
      <c r="B11" s="3" t="s">
        <v>18</v>
      </c>
      <c r="C11" s="36" t="s">
        <v>151</v>
      </c>
      <c r="D11" s="3">
        <v>4479</v>
      </c>
      <c r="E11" s="3"/>
      <c r="F11" s="4"/>
      <c r="G11" s="3"/>
      <c r="H11" s="2"/>
    </row>
    <row r="12" spans="1:8" x14ac:dyDescent="0.2">
      <c r="A12" s="3">
        <v>479660</v>
      </c>
      <c r="B12" s="3" t="s">
        <v>19</v>
      </c>
      <c r="C12" s="36" t="s">
        <v>153</v>
      </c>
      <c r="D12" s="3">
        <v>9531</v>
      </c>
      <c r="E12" s="3"/>
      <c r="F12" s="4"/>
      <c r="G12" s="3"/>
      <c r="H12" s="2"/>
    </row>
    <row r="13" spans="1:8" x14ac:dyDescent="0.2">
      <c r="A13" s="3">
        <v>102472</v>
      </c>
      <c r="B13" s="3" t="s">
        <v>20</v>
      </c>
      <c r="C13" s="40" t="s">
        <v>152</v>
      </c>
      <c r="D13" s="3">
        <v>9533</v>
      </c>
      <c r="E13" s="3"/>
      <c r="F13" s="4"/>
      <c r="G13" s="3"/>
      <c r="H13" s="2"/>
    </row>
    <row r="14" spans="1:8" x14ac:dyDescent="0.2">
      <c r="A14" s="3">
        <v>102473</v>
      </c>
      <c r="B14" s="3" t="s">
        <v>20</v>
      </c>
      <c r="C14" s="36" t="s">
        <v>29</v>
      </c>
      <c r="D14" s="3">
        <v>9533</v>
      </c>
      <c r="E14" s="3"/>
      <c r="F14" s="4"/>
      <c r="G14" s="3"/>
      <c r="H14" s="2"/>
    </row>
    <row r="15" spans="1:8" x14ac:dyDescent="0.2">
      <c r="A15" s="3">
        <v>4271</v>
      </c>
      <c r="B15" s="3" t="s">
        <v>21</v>
      </c>
      <c r="C15" s="36" t="s">
        <v>60</v>
      </c>
      <c r="D15" s="3">
        <v>9534</v>
      </c>
      <c r="E15" s="3"/>
      <c r="F15" s="4"/>
      <c r="G15" s="3"/>
      <c r="H15" s="2"/>
    </row>
    <row r="16" spans="1:8" x14ac:dyDescent="0.2">
      <c r="A16" s="3">
        <v>4270</v>
      </c>
      <c r="B16" s="3" t="s">
        <v>21</v>
      </c>
      <c r="C16" s="36" t="s">
        <v>71</v>
      </c>
      <c r="D16" s="3">
        <v>9534</v>
      </c>
      <c r="E16" s="3"/>
      <c r="F16" s="4"/>
      <c r="G16" s="3"/>
      <c r="H16" s="2"/>
    </row>
    <row r="17" spans="1:8" x14ac:dyDescent="0.2">
      <c r="A17" s="3">
        <v>155288</v>
      </c>
      <c r="B17" s="3" t="s">
        <v>22</v>
      </c>
      <c r="C17" s="36" t="s">
        <v>151</v>
      </c>
      <c r="D17" s="3">
        <v>11514</v>
      </c>
      <c r="E17" s="3"/>
      <c r="F17" s="4"/>
      <c r="G17" s="3"/>
      <c r="H17" s="2"/>
    </row>
    <row r="18" spans="1:8" x14ac:dyDescent="0.2">
      <c r="A18" s="3">
        <v>155289</v>
      </c>
      <c r="B18" s="3" t="s">
        <v>22</v>
      </c>
      <c r="C18" s="36" t="s">
        <v>153</v>
      </c>
      <c r="D18" s="3">
        <v>11514</v>
      </c>
      <c r="E18" s="3"/>
      <c r="F18" s="4"/>
      <c r="G18" s="3"/>
      <c r="H18" s="2"/>
    </row>
    <row r="19" spans="1:8" x14ac:dyDescent="0.2">
      <c r="A19" s="3">
        <v>22084</v>
      </c>
      <c r="B19" s="3" t="s">
        <v>23</v>
      </c>
      <c r="C19" s="40" t="s">
        <v>152</v>
      </c>
      <c r="D19" s="3">
        <v>7031</v>
      </c>
      <c r="E19" s="3"/>
      <c r="F19" s="4"/>
      <c r="G19" s="3"/>
      <c r="H19" s="2"/>
    </row>
    <row r="20" spans="1:8" x14ac:dyDescent="0.2">
      <c r="A20" s="3">
        <v>21655</v>
      </c>
      <c r="B20" s="3" t="s">
        <v>23</v>
      </c>
      <c r="C20" s="36" t="s">
        <v>29</v>
      </c>
      <c r="D20" s="3">
        <v>7031</v>
      </c>
      <c r="E20" s="3"/>
      <c r="F20" s="4"/>
      <c r="G20" s="3"/>
      <c r="H20" s="2"/>
    </row>
    <row r="21" spans="1:8" x14ac:dyDescent="0.2">
      <c r="A21" s="3">
        <v>1597</v>
      </c>
      <c r="B21" s="3" t="s">
        <v>24</v>
      </c>
      <c r="C21" s="36" t="s">
        <v>60</v>
      </c>
      <c r="D21" s="3" t="s">
        <v>25</v>
      </c>
      <c r="E21" s="3"/>
      <c r="F21" s="4"/>
      <c r="G21" s="3"/>
      <c r="H21" s="2"/>
    </row>
    <row r="22" spans="1:8" x14ac:dyDescent="0.2">
      <c r="A22" s="3">
        <v>2630</v>
      </c>
      <c r="B22" s="3" t="s">
        <v>26</v>
      </c>
      <c r="C22" s="36" t="s">
        <v>71</v>
      </c>
      <c r="D22" s="3">
        <v>6960</v>
      </c>
      <c r="E22" s="3"/>
      <c r="F22" s="4"/>
      <c r="G22" s="3"/>
      <c r="H22" s="2"/>
    </row>
    <row r="23" spans="1:8" x14ac:dyDescent="0.2">
      <c r="A23" s="3">
        <v>2631</v>
      </c>
      <c r="B23" s="3" t="s">
        <v>26</v>
      </c>
      <c r="C23" s="36" t="s">
        <v>151</v>
      </c>
      <c r="D23" s="3">
        <v>6960</v>
      </c>
      <c r="E23" s="3"/>
      <c r="F23" s="4"/>
      <c r="G23" s="3"/>
      <c r="H23" s="2"/>
    </row>
    <row r="24" spans="1:8" x14ac:dyDescent="0.2">
      <c r="A24" s="3">
        <v>154143</v>
      </c>
      <c r="B24" s="3" t="s">
        <v>22</v>
      </c>
      <c r="C24" s="36" t="s">
        <v>153</v>
      </c>
      <c r="D24" s="3">
        <v>9532</v>
      </c>
      <c r="E24" s="3"/>
      <c r="F24" s="4"/>
      <c r="G24" s="3"/>
      <c r="H24" s="2"/>
    </row>
    <row r="25" spans="1:8" x14ac:dyDescent="0.2">
      <c r="A25" s="3">
        <v>100864</v>
      </c>
      <c r="B25" s="3" t="s">
        <v>20</v>
      </c>
      <c r="C25" s="40" t="s">
        <v>152</v>
      </c>
      <c r="D25" s="3">
        <v>7023</v>
      </c>
      <c r="E25" s="3"/>
      <c r="F25" s="4"/>
      <c r="G25" s="3"/>
      <c r="H25" s="2"/>
    </row>
    <row r="26" spans="1:8" x14ac:dyDescent="0.2">
      <c r="A26" s="3">
        <v>236686</v>
      </c>
      <c r="B26" s="3" t="s">
        <v>28</v>
      </c>
      <c r="C26" s="36" t="s">
        <v>29</v>
      </c>
      <c r="D26" s="3">
        <v>87930</v>
      </c>
      <c r="E26" s="5">
        <v>45281</v>
      </c>
      <c r="F26" s="4"/>
      <c r="G26" s="3"/>
      <c r="H26" s="2"/>
    </row>
    <row r="27" spans="1:8" x14ac:dyDescent="0.2">
      <c r="A27" s="3">
        <v>1967</v>
      </c>
      <c r="B27" s="3" t="s">
        <v>30</v>
      </c>
      <c r="C27" s="36" t="s">
        <v>60</v>
      </c>
      <c r="D27" s="3">
        <v>173809</v>
      </c>
      <c r="E27" s="5">
        <v>45328</v>
      </c>
      <c r="F27" s="4"/>
      <c r="G27" s="3"/>
      <c r="H27" s="2"/>
    </row>
    <row r="28" spans="1:8" x14ac:dyDescent="0.2">
      <c r="A28" s="3">
        <v>249573</v>
      </c>
      <c r="B28" s="3" t="s">
        <v>31</v>
      </c>
      <c r="C28" s="36" t="s">
        <v>71</v>
      </c>
      <c r="D28" s="3">
        <v>177698</v>
      </c>
      <c r="E28" s="3"/>
      <c r="F28" s="4"/>
      <c r="G28" s="3"/>
      <c r="H28" s="2"/>
    </row>
    <row r="29" spans="1:8" x14ac:dyDescent="0.2">
      <c r="A29" s="3">
        <v>105025</v>
      </c>
      <c r="B29" s="3" t="s">
        <v>32</v>
      </c>
      <c r="C29" s="36" t="s">
        <v>151</v>
      </c>
      <c r="D29" s="3">
        <v>89505</v>
      </c>
      <c r="E29" s="3"/>
      <c r="F29" s="4"/>
      <c r="G29" s="3"/>
      <c r="H29" s="2"/>
    </row>
    <row r="30" spans="1:8" x14ac:dyDescent="0.2">
      <c r="A30" s="3">
        <v>248596</v>
      </c>
      <c r="B30" s="3" t="s">
        <v>31</v>
      </c>
      <c r="C30" s="36" t="s">
        <v>153</v>
      </c>
      <c r="D30" s="3">
        <v>90554</v>
      </c>
      <c r="E30" s="3"/>
      <c r="F30" s="4"/>
      <c r="G30" s="3"/>
      <c r="H30" s="2"/>
    </row>
    <row r="31" spans="1:8" x14ac:dyDescent="0.2">
      <c r="A31" s="3">
        <v>1699</v>
      </c>
      <c r="B31" s="3" t="s">
        <v>33</v>
      </c>
      <c r="C31" s="40" t="s">
        <v>152</v>
      </c>
      <c r="D31" s="3">
        <v>17394</v>
      </c>
      <c r="E31" s="5">
        <v>45356</v>
      </c>
      <c r="F31" s="4"/>
      <c r="G31" s="3"/>
      <c r="H31" s="2"/>
    </row>
    <row r="32" spans="1:8" x14ac:dyDescent="0.2">
      <c r="A32" s="3">
        <v>242214</v>
      </c>
      <c r="B32" s="3" t="s">
        <v>31</v>
      </c>
      <c r="C32" s="36" t="s">
        <v>29</v>
      </c>
      <c r="D32" s="3">
        <v>13191</v>
      </c>
      <c r="E32" s="5">
        <v>45324</v>
      </c>
      <c r="F32" s="4"/>
      <c r="G32" s="3"/>
      <c r="H32" s="37">
        <v>8126</v>
      </c>
    </row>
    <row r="33" spans="1:8" x14ac:dyDescent="0.2">
      <c r="A33" s="3">
        <v>6231</v>
      </c>
      <c r="B33" s="3" t="s">
        <v>24</v>
      </c>
      <c r="C33" s="36" t="s">
        <v>60</v>
      </c>
      <c r="D33" s="3">
        <v>17391</v>
      </c>
      <c r="E33" s="5">
        <v>45357</v>
      </c>
      <c r="F33" s="4"/>
      <c r="G33" s="3"/>
      <c r="H33" s="37">
        <v>8125</v>
      </c>
    </row>
    <row r="34" spans="1:8" x14ac:dyDescent="0.2">
      <c r="A34" s="3">
        <v>1714</v>
      </c>
      <c r="B34" s="3" t="s">
        <v>34</v>
      </c>
      <c r="C34" s="36" t="s">
        <v>71</v>
      </c>
      <c r="D34" s="3">
        <v>17393</v>
      </c>
      <c r="E34" s="5">
        <v>45314</v>
      </c>
      <c r="F34" s="4"/>
      <c r="G34" s="3"/>
      <c r="H34" s="37">
        <v>8124</v>
      </c>
    </row>
    <row r="35" spans="1:8" x14ac:dyDescent="0.2">
      <c r="A35" s="3">
        <v>981</v>
      </c>
      <c r="B35" s="3" t="s">
        <v>34</v>
      </c>
      <c r="C35" s="36" t="s">
        <v>151</v>
      </c>
      <c r="D35" s="3">
        <v>12128</v>
      </c>
      <c r="E35" s="5">
        <v>45190</v>
      </c>
      <c r="F35" s="4"/>
      <c r="G35" s="3"/>
      <c r="H35" s="37">
        <v>8123</v>
      </c>
    </row>
    <row r="36" spans="1:8" x14ac:dyDescent="0.2">
      <c r="A36" s="3">
        <v>469</v>
      </c>
      <c r="B36" s="3" t="s">
        <v>33</v>
      </c>
      <c r="C36" s="36" t="s">
        <v>153</v>
      </c>
      <c r="D36" s="3">
        <v>3090</v>
      </c>
      <c r="E36" s="5">
        <v>45120</v>
      </c>
      <c r="F36" s="4"/>
      <c r="G36" s="3"/>
      <c r="H36" s="37">
        <v>8122</v>
      </c>
    </row>
    <row r="37" spans="1:8" x14ac:dyDescent="0.2">
      <c r="A37" s="3">
        <v>6127</v>
      </c>
      <c r="B37" s="3" t="s">
        <v>35</v>
      </c>
      <c r="C37" s="40" t="s">
        <v>152</v>
      </c>
      <c r="D37" s="3">
        <v>12121</v>
      </c>
      <c r="E37" s="5">
        <v>45209</v>
      </c>
      <c r="F37" s="4"/>
      <c r="G37" s="3"/>
      <c r="H37" s="37">
        <v>8121</v>
      </c>
    </row>
    <row r="38" spans="1:8" x14ac:dyDescent="0.2">
      <c r="A38" s="3">
        <v>6152</v>
      </c>
      <c r="B38" s="3" t="s">
        <v>35</v>
      </c>
      <c r="C38" s="36" t="s">
        <v>29</v>
      </c>
      <c r="D38" s="3">
        <v>12121</v>
      </c>
      <c r="E38" s="5">
        <v>45216</v>
      </c>
      <c r="F38" s="4"/>
      <c r="G38" s="3"/>
      <c r="H38" s="37">
        <v>8120</v>
      </c>
    </row>
    <row r="39" spans="1:8" x14ac:dyDescent="0.2">
      <c r="A39" s="3">
        <v>5592</v>
      </c>
      <c r="B39" s="3" t="s">
        <v>35</v>
      </c>
      <c r="C39" s="36" t="s">
        <v>60</v>
      </c>
      <c r="D39" s="3">
        <v>12121</v>
      </c>
      <c r="E39" s="5">
        <v>45104</v>
      </c>
      <c r="F39" s="4"/>
      <c r="G39" s="3"/>
      <c r="H39" s="2"/>
    </row>
    <row r="40" spans="1:8" x14ac:dyDescent="0.2">
      <c r="A40" s="3">
        <v>69619</v>
      </c>
      <c r="B40" s="3" t="s">
        <v>36</v>
      </c>
      <c r="C40" s="36" t="s">
        <v>71</v>
      </c>
      <c r="D40" s="3">
        <v>16436</v>
      </c>
      <c r="E40" s="5">
        <v>45323</v>
      </c>
      <c r="F40" s="4"/>
      <c r="G40" s="3"/>
      <c r="H40" s="2"/>
    </row>
    <row r="41" spans="1:8" x14ac:dyDescent="0.2">
      <c r="A41" s="3">
        <v>14931</v>
      </c>
      <c r="B41" s="3" t="s">
        <v>35</v>
      </c>
      <c r="C41" s="36" t="s">
        <v>151</v>
      </c>
      <c r="D41" s="3">
        <v>16588</v>
      </c>
      <c r="E41" s="5">
        <v>45359</v>
      </c>
      <c r="F41" s="6">
        <v>22.34</v>
      </c>
      <c r="G41" s="7" t="s">
        <v>37</v>
      </c>
      <c r="H41" s="8"/>
    </row>
    <row r="42" spans="1:8" x14ac:dyDescent="0.2">
      <c r="A42" s="3">
        <v>41866</v>
      </c>
      <c r="B42" s="3" t="s">
        <v>38</v>
      </c>
      <c r="C42" s="36" t="s">
        <v>153</v>
      </c>
      <c r="D42" s="3">
        <v>14491</v>
      </c>
      <c r="E42" s="5">
        <v>45364</v>
      </c>
      <c r="F42" s="6">
        <v>86.01</v>
      </c>
      <c r="G42" s="7" t="s">
        <v>37</v>
      </c>
      <c r="H42" s="8"/>
    </row>
    <row r="43" spans="1:8" x14ac:dyDescent="0.2">
      <c r="A43" s="3">
        <v>251952</v>
      </c>
      <c r="B43" s="3" t="s">
        <v>31</v>
      </c>
      <c r="C43" s="40" t="s">
        <v>152</v>
      </c>
      <c r="D43" s="3">
        <v>19429</v>
      </c>
      <c r="E43" s="5">
        <v>45397</v>
      </c>
      <c r="F43" s="6">
        <v>2236.25</v>
      </c>
      <c r="G43" s="7" t="s">
        <v>37</v>
      </c>
      <c r="H43" s="8"/>
    </row>
    <row r="44" spans="1:8" x14ac:dyDescent="0.2">
      <c r="A44" s="3">
        <v>20240</v>
      </c>
      <c r="B44" s="3" t="s">
        <v>39</v>
      </c>
      <c r="C44" s="36" t="s">
        <v>29</v>
      </c>
      <c r="D44" s="3">
        <v>19467</v>
      </c>
      <c r="E44" s="5">
        <v>45440</v>
      </c>
      <c r="F44" s="6">
        <v>436.68</v>
      </c>
      <c r="G44" s="7" t="s">
        <v>37</v>
      </c>
      <c r="H44" s="8"/>
    </row>
    <row r="45" spans="1:8" x14ac:dyDescent="0.2">
      <c r="A45" s="3">
        <v>24119</v>
      </c>
      <c r="B45" s="3" t="s">
        <v>41</v>
      </c>
      <c r="C45" s="36" t="s">
        <v>60</v>
      </c>
      <c r="D45" s="3">
        <v>18835</v>
      </c>
      <c r="E45" s="5">
        <v>45462</v>
      </c>
      <c r="F45" s="4">
        <v>420.28</v>
      </c>
      <c r="G45" s="7" t="s">
        <v>37</v>
      </c>
      <c r="H45" s="8"/>
    </row>
    <row r="46" spans="1:8" x14ac:dyDescent="0.2">
      <c r="A46" s="3">
        <v>159016</v>
      </c>
      <c r="B46" s="3" t="s">
        <v>42</v>
      </c>
      <c r="C46" s="36" t="s">
        <v>71</v>
      </c>
      <c r="D46" s="3" t="s">
        <v>43</v>
      </c>
      <c r="E46" s="9"/>
      <c r="F46" s="4">
        <v>675.77</v>
      </c>
      <c r="G46" s="7" t="s">
        <v>37</v>
      </c>
      <c r="H46" s="8">
        <v>45444</v>
      </c>
    </row>
    <row r="47" spans="1:8" x14ac:dyDescent="0.2">
      <c r="A47" s="10">
        <v>63884</v>
      </c>
      <c r="B47" s="11" t="s">
        <v>44</v>
      </c>
      <c r="C47" s="36" t="s">
        <v>151</v>
      </c>
      <c r="D47" s="12" t="s">
        <v>45</v>
      </c>
      <c r="E47" s="11">
        <v>45459</v>
      </c>
      <c r="F47" s="13">
        <v>40</v>
      </c>
      <c r="G47" s="7" t="s">
        <v>37</v>
      </c>
      <c r="H47" s="8"/>
    </row>
    <row r="48" spans="1:8" x14ac:dyDescent="0.2">
      <c r="A48" s="12">
        <v>32833</v>
      </c>
      <c r="B48" s="11" t="s">
        <v>44</v>
      </c>
      <c r="C48" s="36" t="s">
        <v>153</v>
      </c>
      <c r="D48" s="12" t="s">
        <v>45</v>
      </c>
      <c r="E48" s="11">
        <v>45459</v>
      </c>
      <c r="F48" s="13">
        <v>170</v>
      </c>
      <c r="G48" s="7" t="s">
        <v>37</v>
      </c>
      <c r="H48" s="8"/>
    </row>
    <row r="49" spans="1:8" x14ac:dyDescent="0.2">
      <c r="A49" s="12">
        <v>34605</v>
      </c>
      <c r="B49" s="11" t="s">
        <v>44</v>
      </c>
      <c r="C49" s="40" t="s">
        <v>152</v>
      </c>
      <c r="D49" s="12" t="s">
        <v>45</v>
      </c>
      <c r="E49" s="11">
        <v>45459</v>
      </c>
      <c r="F49" s="13">
        <v>330</v>
      </c>
      <c r="G49" s="7" t="s">
        <v>37</v>
      </c>
      <c r="H49" s="8"/>
    </row>
    <row r="50" spans="1:8" x14ac:dyDescent="0.2">
      <c r="A50" s="12">
        <v>15299</v>
      </c>
      <c r="B50" s="11" t="s">
        <v>44</v>
      </c>
      <c r="C50" s="36" t="s">
        <v>29</v>
      </c>
      <c r="D50" s="12" t="s">
        <v>45</v>
      </c>
      <c r="E50" s="11">
        <v>45459</v>
      </c>
      <c r="F50" s="13">
        <v>32.18</v>
      </c>
      <c r="G50" s="7" t="s">
        <v>37</v>
      </c>
      <c r="H50" s="8"/>
    </row>
    <row r="51" spans="1:8" x14ac:dyDescent="0.2">
      <c r="A51" s="3">
        <v>79679</v>
      </c>
      <c r="B51" s="3" t="s">
        <v>46</v>
      </c>
      <c r="C51" s="36" t="s">
        <v>60</v>
      </c>
      <c r="D51" s="3" t="s">
        <v>43</v>
      </c>
      <c r="E51" s="9"/>
      <c r="F51" s="4">
        <v>77.989999999999995</v>
      </c>
      <c r="G51" s="7" t="s">
        <v>37</v>
      </c>
      <c r="H51" s="8">
        <v>45444</v>
      </c>
    </row>
    <row r="52" spans="1:8" x14ac:dyDescent="0.2">
      <c r="A52" s="3">
        <v>17755</v>
      </c>
      <c r="B52" s="3" t="s">
        <v>46</v>
      </c>
      <c r="C52" s="36" t="s">
        <v>71</v>
      </c>
      <c r="D52" s="3" t="s">
        <v>43</v>
      </c>
      <c r="E52" s="9"/>
      <c r="F52" s="4">
        <v>263.37</v>
      </c>
      <c r="G52" s="7" t="s">
        <v>37</v>
      </c>
      <c r="H52" s="8">
        <v>45444</v>
      </c>
    </row>
    <row r="53" spans="1:8" x14ac:dyDescent="0.2">
      <c r="A53" s="3">
        <v>42115</v>
      </c>
      <c r="B53" s="3" t="s">
        <v>46</v>
      </c>
      <c r="C53" s="36" t="s">
        <v>151</v>
      </c>
      <c r="D53" s="3" t="s">
        <v>43</v>
      </c>
      <c r="E53" s="9"/>
      <c r="F53" s="4">
        <v>589.49</v>
      </c>
      <c r="G53" s="7" t="s">
        <v>37</v>
      </c>
      <c r="H53" s="8">
        <v>45444</v>
      </c>
    </row>
    <row r="54" spans="1:8" x14ac:dyDescent="0.2">
      <c r="A54" s="3">
        <v>20240</v>
      </c>
      <c r="B54" s="3" t="s">
        <v>47</v>
      </c>
      <c r="C54" s="36" t="s">
        <v>153</v>
      </c>
      <c r="D54" s="3" t="s">
        <v>43</v>
      </c>
      <c r="E54" s="9"/>
      <c r="F54" s="4">
        <v>436.68</v>
      </c>
      <c r="G54" s="7" t="s">
        <v>37</v>
      </c>
      <c r="H54" s="8">
        <v>45444</v>
      </c>
    </row>
    <row r="55" spans="1:8" x14ac:dyDescent="0.2">
      <c r="A55" s="12" t="s">
        <v>48</v>
      </c>
      <c r="B55" s="12" t="s">
        <v>49</v>
      </c>
      <c r="C55" s="40" t="s">
        <v>152</v>
      </c>
      <c r="D55" s="3" t="s">
        <v>43</v>
      </c>
      <c r="E55" s="9"/>
      <c r="F55" s="13">
        <v>544.36</v>
      </c>
      <c r="G55" s="7" t="s">
        <v>37</v>
      </c>
      <c r="H55" s="8">
        <v>45444</v>
      </c>
    </row>
    <row r="56" spans="1:8" x14ac:dyDescent="0.2">
      <c r="A56" s="3">
        <v>42801</v>
      </c>
      <c r="B56" s="3" t="s">
        <v>15</v>
      </c>
      <c r="C56" s="36" t="s">
        <v>29</v>
      </c>
      <c r="D56" s="3">
        <v>19439</v>
      </c>
      <c r="E56" s="5">
        <v>45434</v>
      </c>
      <c r="F56" s="4">
        <v>248.81</v>
      </c>
      <c r="G56" s="7" t="s">
        <v>37</v>
      </c>
      <c r="H56" s="8"/>
    </row>
    <row r="57" spans="1:8" x14ac:dyDescent="0.2">
      <c r="A57" s="3">
        <v>69314</v>
      </c>
      <c r="B57" s="3" t="s">
        <v>15</v>
      </c>
      <c r="C57" s="36" t="s">
        <v>60</v>
      </c>
      <c r="D57" s="3">
        <v>19441</v>
      </c>
      <c r="E57" s="5">
        <v>45434</v>
      </c>
      <c r="F57" s="4">
        <v>29.81</v>
      </c>
      <c r="G57" s="7" t="s">
        <v>37</v>
      </c>
      <c r="H57" s="8"/>
    </row>
    <row r="58" spans="1:8" x14ac:dyDescent="0.2">
      <c r="A58" s="3">
        <v>15436</v>
      </c>
      <c r="B58" s="3" t="s">
        <v>14</v>
      </c>
      <c r="C58" s="36" t="s">
        <v>71</v>
      </c>
      <c r="D58" s="3">
        <v>18174</v>
      </c>
      <c r="E58" s="5">
        <v>45404</v>
      </c>
      <c r="F58" s="4">
        <v>579.80999999999995</v>
      </c>
      <c r="G58" s="7" t="s">
        <v>37</v>
      </c>
      <c r="H58" s="8"/>
    </row>
    <row r="59" spans="1:8" x14ac:dyDescent="0.2">
      <c r="A59" s="3">
        <v>18157</v>
      </c>
      <c r="B59" s="3" t="s">
        <v>39</v>
      </c>
      <c r="C59" s="36" t="s">
        <v>151</v>
      </c>
      <c r="D59" s="3">
        <v>19467</v>
      </c>
      <c r="E59" s="5">
        <v>45239</v>
      </c>
      <c r="F59" s="4">
        <v>372.18</v>
      </c>
      <c r="G59" s="7" t="s">
        <v>37</v>
      </c>
      <c r="H59" s="8"/>
    </row>
    <row r="60" spans="1:8" x14ac:dyDescent="0.2">
      <c r="A60" s="3">
        <v>484558</v>
      </c>
      <c r="B60" s="3" t="s">
        <v>19</v>
      </c>
      <c r="C60" s="36" t="s">
        <v>153</v>
      </c>
      <c r="D60" s="3">
        <v>19132</v>
      </c>
      <c r="E60" s="5">
        <v>45422</v>
      </c>
      <c r="F60" s="4">
        <v>2074.67</v>
      </c>
      <c r="G60" s="7" t="s">
        <v>37</v>
      </c>
      <c r="H60" s="8"/>
    </row>
    <row r="61" spans="1:8" x14ac:dyDescent="0.2">
      <c r="A61" s="3">
        <v>108636</v>
      </c>
      <c r="B61" s="3" t="s">
        <v>32</v>
      </c>
      <c r="C61" s="40" t="s">
        <v>152</v>
      </c>
      <c r="D61" s="3" t="s">
        <v>50</v>
      </c>
      <c r="E61" s="5">
        <v>45492</v>
      </c>
      <c r="F61" s="4">
        <v>285.8</v>
      </c>
      <c r="G61" s="7" t="s">
        <v>37</v>
      </c>
      <c r="H61" s="8"/>
    </row>
    <row r="62" spans="1:8" x14ac:dyDescent="0.2">
      <c r="A62" s="3">
        <v>108635</v>
      </c>
      <c r="B62" s="3" t="s">
        <v>32</v>
      </c>
      <c r="C62" s="36" t="s">
        <v>29</v>
      </c>
      <c r="D62" s="3" t="s">
        <v>50</v>
      </c>
      <c r="E62" s="5">
        <v>45401</v>
      </c>
      <c r="F62" s="4">
        <v>962.28</v>
      </c>
      <c r="G62" s="7" t="s">
        <v>37</v>
      </c>
      <c r="H62" s="8"/>
    </row>
    <row r="63" spans="1:8" x14ac:dyDescent="0.2">
      <c r="A63" s="3">
        <v>1868</v>
      </c>
      <c r="B63" s="3" t="s">
        <v>30</v>
      </c>
      <c r="C63" s="36" t="s">
        <v>60</v>
      </c>
      <c r="D63" s="3">
        <v>57243</v>
      </c>
      <c r="E63" s="5">
        <v>45287</v>
      </c>
      <c r="F63" s="4">
        <v>1848.96</v>
      </c>
      <c r="G63" s="7" t="s">
        <v>37</v>
      </c>
      <c r="H63" s="8"/>
    </row>
    <row r="64" spans="1:8" x14ac:dyDescent="0.2">
      <c r="A64" s="3">
        <v>249573</v>
      </c>
      <c r="B64" s="3" t="s">
        <v>31</v>
      </c>
      <c r="C64" s="36" t="s">
        <v>71</v>
      </c>
      <c r="D64" s="3">
        <v>177698</v>
      </c>
      <c r="E64" s="5">
        <v>45379</v>
      </c>
      <c r="F64" s="4">
        <v>56.62</v>
      </c>
      <c r="G64" s="7" t="s">
        <v>37</v>
      </c>
      <c r="H64" s="8"/>
    </row>
    <row r="65" spans="1:8" x14ac:dyDescent="0.2">
      <c r="A65" s="3">
        <v>108304</v>
      </c>
      <c r="B65" s="3" t="s">
        <v>51</v>
      </c>
      <c r="C65" s="36" t="s">
        <v>151</v>
      </c>
      <c r="D65" s="3" t="s">
        <v>52</v>
      </c>
      <c r="E65" s="5">
        <v>44631</v>
      </c>
      <c r="F65" s="4">
        <v>270.52999999999997</v>
      </c>
      <c r="G65" s="7" t="s">
        <v>37</v>
      </c>
      <c r="H65" s="8">
        <v>45474</v>
      </c>
    </row>
    <row r="66" spans="1:8" x14ac:dyDescent="0.2">
      <c r="A66" s="3">
        <v>52840</v>
      </c>
      <c r="B66" s="3" t="s">
        <v>35</v>
      </c>
      <c r="C66" s="36" t="s">
        <v>153</v>
      </c>
      <c r="D66" s="3">
        <v>22528</v>
      </c>
      <c r="E66" s="5">
        <v>45476</v>
      </c>
      <c r="F66" s="4">
        <v>166.98</v>
      </c>
      <c r="G66" s="7" t="s">
        <v>37</v>
      </c>
      <c r="H66" s="8"/>
    </row>
    <row r="67" spans="1:8" x14ac:dyDescent="0.2">
      <c r="A67" s="3">
        <v>8998</v>
      </c>
      <c r="B67" s="3" t="s">
        <v>53</v>
      </c>
      <c r="C67" s="40" t="s">
        <v>152</v>
      </c>
      <c r="D67" s="3">
        <v>23782</v>
      </c>
      <c r="E67" s="5">
        <v>45488</v>
      </c>
      <c r="F67" s="4">
        <v>242.03</v>
      </c>
      <c r="G67" s="7" t="s">
        <v>37</v>
      </c>
      <c r="H67" s="8"/>
    </row>
    <row r="68" spans="1:8" x14ac:dyDescent="0.2">
      <c r="A68" s="3">
        <v>157934</v>
      </c>
      <c r="B68" s="3" t="s">
        <v>14</v>
      </c>
      <c r="C68" s="36" t="s">
        <v>29</v>
      </c>
      <c r="D68" s="3">
        <v>23193</v>
      </c>
      <c r="E68" s="5">
        <v>45490</v>
      </c>
      <c r="F68" s="4">
        <v>1103.8699999999999</v>
      </c>
      <c r="G68" s="7" t="s">
        <v>37</v>
      </c>
      <c r="H68" s="8"/>
    </row>
    <row r="69" spans="1:8" x14ac:dyDescent="0.2">
      <c r="A69" s="3">
        <v>24409</v>
      </c>
      <c r="B69" s="3" t="s">
        <v>54</v>
      </c>
      <c r="C69" s="36" t="s">
        <v>60</v>
      </c>
      <c r="D69" s="3">
        <v>22523</v>
      </c>
      <c r="E69" s="5">
        <v>45483</v>
      </c>
      <c r="F69" s="4">
        <v>917.19</v>
      </c>
      <c r="G69" s="7" t="s">
        <v>37</v>
      </c>
      <c r="H69" s="8"/>
    </row>
    <row r="70" spans="1:8" x14ac:dyDescent="0.2">
      <c r="A70" s="3">
        <v>261426</v>
      </c>
      <c r="B70" s="3" t="s">
        <v>31</v>
      </c>
      <c r="C70" s="36" t="s">
        <v>71</v>
      </c>
      <c r="D70" s="3">
        <v>23743</v>
      </c>
      <c r="E70" s="5">
        <v>45475</v>
      </c>
      <c r="F70" s="4">
        <v>1191.18</v>
      </c>
      <c r="G70" s="7" t="s">
        <v>37</v>
      </c>
      <c r="H70" s="8"/>
    </row>
    <row r="71" spans="1:8" x14ac:dyDescent="0.2">
      <c r="A71" s="3">
        <v>15536</v>
      </c>
      <c r="B71" s="3" t="s">
        <v>55</v>
      </c>
      <c r="C71" s="36" t="s">
        <v>151</v>
      </c>
      <c r="D71" s="3">
        <v>15536</v>
      </c>
      <c r="E71" s="5">
        <v>45411</v>
      </c>
      <c r="F71" s="4">
        <v>52.22</v>
      </c>
      <c r="G71" s="7" t="s">
        <v>37</v>
      </c>
      <c r="H71" s="8"/>
    </row>
    <row r="72" spans="1:8" x14ac:dyDescent="0.2">
      <c r="A72" s="3">
        <v>6928</v>
      </c>
      <c r="B72" s="3" t="s">
        <v>56</v>
      </c>
      <c r="C72" s="36" t="s">
        <v>153</v>
      </c>
      <c r="D72" s="3">
        <v>22530</v>
      </c>
      <c r="E72" s="5">
        <v>45411</v>
      </c>
      <c r="F72" s="4">
        <v>211.84</v>
      </c>
      <c r="G72" s="7" t="s">
        <v>37</v>
      </c>
      <c r="H72" s="8"/>
    </row>
    <row r="73" spans="1:8" x14ac:dyDescent="0.2">
      <c r="A73" s="3">
        <v>52131</v>
      </c>
      <c r="B73" s="3" t="s">
        <v>55</v>
      </c>
      <c r="C73" s="40" t="s">
        <v>152</v>
      </c>
      <c r="D73" s="3">
        <v>22528</v>
      </c>
      <c r="E73" s="5">
        <v>45411</v>
      </c>
      <c r="F73" s="4">
        <v>52.22</v>
      </c>
      <c r="G73" s="7" t="s">
        <v>37</v>
      </c>
      <c r="H73" s="8"/>
    </row>
    <row r="74" spans="1:8" x14ac:dyDescent="0.2">
      <c r="A74" s="3">
        <v>2291</v>
      </c>
      <c r="B74" s="3" t="s">
        <v>57</v>
      </c>
      <c r="C74" s="36" t="s">
        <v>29</v>
      </c>
      <c r="D74" s="3">
        <v>23114</v>
      </c>
      <c r="E74" s="5">
        <v>45411</v>
      </c>
      <c r="F74" s="4">
        <v>214.38</v>
      </c>
      <c r="G74" s="7" t="s">
        <v>37</v>
      </c>
      <c r="H74" s="8"/>
    </row>
    <row r="75" spans="1:8" x14ac:dyDescent="0.2">
      <c r="A75" s="3">
        <v>5131</v>
      </c>
      <c r="B75" s="3" t="s">
        <v>58</v>
      </c>
      <c r="C75" s="36" t="s">
        <v>60</v>
      </c>
      <c r="D75" s="3">
        <v>23185</v>
      </c>
      <c r="E75" s="5">
        <v>45365</v>
      </c>
      <c r="F75" s="4">
        <v>354.98</v>
      </c>
      <c r="G75" s="7" t="s">
        <v>37</v>
      </c>
      <c r="H75" s="8"/>
    </row>
    <row r="76" spans="1:8" x14ac:dyDescent="0.2">
      <c r="A76" s="3">
        <v>40593</v>
      </c>
      <c r="B76" s="3" t="s">
        <v>58</v>
      </c>
      <c r="C76" s="36" t="s">
        <v>71</v>
      </c>
      <c r="D76" s="3">
        <v>23183</v>
      </c>
      <c r="E76" s="5">
        <v>45365</v>
      </c>
      <c r="F76" s="4">
        <v>532.23</v>
      </c>
      <c r="G76" s="7" t="s">
        <v>37</v>
      </c>
      <c r="H76" s="8"/>
    </row>
    <row r="77" spans="1:8" x14ac:dyDescent="0.2">
      <c r="A77" s="12">
        <v>7012</v>
      </c>
      <c r="B77" s="12" t="s">
        <v>21</v>
      </c>
      <c r="C77" s="36" t="s">
        <v>151</v>
      </c>
      <c r="D77" s="3" t="s">
        <v>43</v>
      </c>
      <c r="E77" s="9"/>
      <c r="F77" s="13">
        <v>64.73</v>
      </c>
      <c r="G77" s="7" t="s">
        <v>37</v>
      </c>
      <c r="H77" s="8">
        <v>45474</v>
      </c>
    </row>
    <row r="78" spans="1:8" x14ac:dyDescent="0.2">
      <c r="A78" s="12">
        <v>105631</v>
      </c>
      <c r="B78" s="12" t="s">
        <v>59</v>
      </c>
      <c r="C78" s="36" t="s">
        <v>153</v>
      </c>
      <c r="D78" s="3" t="s">
        <v>43</v>
      </c>
      <c r="E78" s="9"/>
      <c r="F78" s="13">
        <v>869.88</v>
      </c>
      <c r="G78" s="7" t="s">
        <v>37</v>
      </c>
      <c r="H78" s="8">
        <v>45474</v>
      </c>
    </row>
    <row r="79" spans="1:8" x14ac:dyDescent="0.2">
      <c r="A79" s="12">
        <v>19194</v>
      </c>
      <c r="B79" s="12" t="s">
        <v>13</v>
      </c>
      <c r="C79" s="40" t="s">
        <v>152</v>
      </c>
      <c r="D79" s="3" t="s">
        <v>43</v>
      </c>
      <c r="E79" s="9"/>
      <c r="F79" s="13">
        <v>476.85</v>
      </c>
      <c r="G79" s="7" t="s">
        <v>37</v>
      </c>
      <c r="H79" s="8">
        <v>45474</v>
      </c>
    </row>
    <row r="80" spans="1:8" x14ac:dyDescent="0.2">
      <c r="A80" s="12">
        <v>72206</v>
      </c>
      <c r="B80" s="12" t="s">
        <v>36</v>
      </c>
      <c r="C80" s="36" t="s">
        <v>29</v>
      </c>
      <c r="D80" s="3" t="s">
        <v>43</v>
      </c>
      <c r="E80" s="9"/>
      <c r="F80" s="13">
        <v>627.92999999999995</v>
      </c>
      <c r="G80" s="7" t="s">
        <v>37</v>
      </c>
      <c r="H80" s="8">
        <v>45474</v>
      </c>
    </row>
    <row r="81" spans="1:8" x14ac:dyDescent="0.2">
      <c r="A81" s="3">
        <v>56581</v>
      </c>
      <c r="B81" s="3" t="s">
        <v>61</v>
      </c>
      <c r="C81" s="36" t="s">
        <v>60</v>
      </c>
      <c r="D81" s="3">
        <v>846980</v>
      </c>
      <c r="E81" s="5">
        <v>45286</v>
      </c>
      <c r="F81" s="4">
        <v>191.25</v>
      </c>
      <c r="G81" s="7" t="s">
        <v>37</v>
      </c>
      <c r="H81" s="8"/>
    </row>
    <row r="82" spans="1:8" x14ac:dyDescent="0.2">
      <c r="A82" s="3">
        <v>16741</v>
      </c>
      <c r="B82" s="3" t="s">
        <v>13</v>
      </c>
      <c r="C82" s="36" t="s">
        <v>71</v>
      </c>
      <c r="D82" s="3">
        <v>186730</v>
      </c>
      <c r="E82" s="5">
        <v>45393</v>
      </c>
      <c r="F82" s="4">
        <v>47.82</v>
      </c>
      <c r="G82" s="7" t="s">
        <v>37</v>
      </c>
      <c r="H82" s="8"/>
    </row>
    <row r="83" spans="1:8" x14ac:dyDescent="0.2">
      <c r="A83" s="3">
        <v>261426</v>
      </c>
      <c r="B83" s="3" t="s">
        <v>31</v>
      </c>
      <c r="C83" s="36" t="s">
        <v>151</v>
      </c>
      <c r="D83" s="3">
        <v>23743</v>
      </c>
      <c r="E83" s="5">
        <v>45475</v>
      </c>
      <c r="F83" s="4">
        <v>1191.18</v>
      </c>
      <c r="G83" s="7" t="s">
        <v>37</v>
      </c>
      <c r="H83" s="8"/>
    </row>
    <row r="84" spans="1:8" x14ac:dyDescent="0.2">
      <c r="A84" s="3">
        <v>24289</v>
      </c>
      <c r="B84" s="3" t="s">
        <v>62</v>
      </c>
      <c r="C84" s="36" t="s">
        <v>153</v>
      </c>
      <c r="D84" s="3">
        <v>23113</v>
      </c>
      <c r="E84" s="5">
        <v>45495</v>
      </c>
      <c r="F84" s="4">
        <v>116.62</v>
      </c>
      <c r="G84" s="7" t="s">
        <v>37</v>
      </c>
      <c r="H84" s="8"/>
    </row>
    <row r="85" spans="1:8" x14ac:dyDescent="0.2">
      <c r="A85" s="3">
        <v>5492</v>
      </c>
      <c r="B85" s="3" t="s">
        <v>49</v>
      </c>
      <c r="C85" s="40" t="s">
        <v>152</v>
      </c>
      <c r="D85" s="3">
        <v>25190</v>
      </c>
      <c r="E85" s="5">
        <v>45492</v>
      </c>
      <c r="F85" s="4">
        <v>247.94</v>
      </c>
      <c r="G85" s="7" t="s">
        <v>37</v>
      </c>
      <c r="H85" s="8"/>
    </row>
    <row r="86" spans="1:8" x14ac:dyDescent="0.2">
      <c r="A86" s="3">
        <v>620707</v>
      </c>
      <c r="B86" s="3" t="s">
        <v>63</v>
      </c>
      <c r="C86" s="36" t="s">
        <v>29</v>
      </c>
      <c r="D86" s="3">
        <v>101216</v>
      </c>
      <c r="E86" s="5">
        <v>45429</v>
      </c>
      <c r="F86" s="4">
        <v>53.16</v>
      </c>
      <c r="G86" s="7" t="s">
        <v>37</v>
      </c>
      <c r="H86" s="8"/>
    </row>
    <row r="87" spans="1:8" x14ac:dyDescent="0.2">
      <c r="A87" s="3">
        <v>3040</v>
      </c>
      <c r="B87" s="3" t="s">
        <v>64</v>
      </c>
      <c r="C87" s="36" t="s">
        <v>60</v>
      </c>
      <c r="D87" s="3">
        <v>26465</v>
      </c>
      <c r="E87" s="5">
        <v>45531</v>
      </c>
      <c r="F87" s="4">
        <v>393.86</v>
      </c>
      <c r="G87" s="7" t="s">
        <v>37</v>
      </c>
      <c r="H87" s="8"/>
    </row>
    <row r="88" spans="1:8" x14ac:dyDescent="0.2">
      <c r="A88" s="3">
        <v>2980</v>
      </c>
      <c r="B88" s="3" t="s">
        <v>65</v>
      </c>
      <c r="C88" s="36" t="s">
        <v>71</v>
      </c>
      <c r="D88" s="3" t="s">
        <v>52</v>
      </c>
      <c r="E88" s="5">
        <v>45560</v>
      </c>
      <c r="F88" s="4">
        <v>93.39</v>
      </c>
      <c r="G88" s="7" t="s">
        <v>37</v>
      </c>
      <c r="H88" s="8"/>
    </row>
    <row r="89" spans="1:8" x14ac:dyDescent="0.2">
      <c r="A89" s="3">
        <v>5512</v>
      </c>
      <c r="B89" s="3" t="s">
        <v>66</v>
      </c>
      <c r="C89" s="36" t="s">
        <v>151</v>
      </c>
      <c r="D89" s="3">
        <v>33686</v>
      </c>
      <c r="E89" s="5">
        <v>45511</v>
      </c>
      <c r="F89" s="4">
        <v>35.61</v>
      </c>
      <c r="G89" s="7" t="s">
        <v>37</v>
      </c>
      <c r="H89" s="8"/>
    </row>
    <row r="90" spans="1:8" x14ac:dyDescent="0.2">
      <c r="A90" s="3">
        <v>4849</v>
      </c>
      <c r="B90" s="3" t="s">
        <v>67</v>
      </c>
      <c r="C90" s="36" t="s">
        <v>153</v>
      </c>
      <c r="D90" s="3">
        <v>31190</v>
      </c>
      <c r="E90" s="5">
        <v>45365</v>
      </c>
      <c r="F90" s="4">
        <v>75.459999999999994</v>
      </c>
      <c r="G90" s="7" t="s">
        <v>37</v>
      </c>
      <c r="H90" s="8"/>
    </row>
    <row r="91" spans="1:8" x14ac:dyDescent="0.2">
      <c r="A91" s="3">
        <v>16675</v>
      </c>
      <c r="B91" s="3" t="s">
        <v>67</v>
      </c>
      <c r="C91" s="40" t="s">
        <v>152</v>
      </c>
      <c r="D91" s="3">
        <v>31192</v>
      </c>
      <c r="E91" s="5">
        <v>45365</v>
      </c>
      <c r="F91" s="4">
        <v>132.05000000000001</v>
      </c>
      <c r="G91" s="7" t="s">
        <v>37</v>
      </c>
      <c r="H91" s="8"/>
    </row>
    <row r="92" spans="1:8" x14ac:dyDescent="0.2">
      <c r="A92" s="3">
        <v>5939</v>
      </c>
      <c r="B92" s="3" t="s">
        <v>67</v>
      </c>
      <c r="C92" s="36" t="s">
        <v>29</v>
      </c>
      <c r="D92" s="3">
        <v>31191</v>
      </c>
      <c r="E92" s="5">
        <v>45524</v>
      </c>
      <c r="F92" s="4">
        <v>354.27</v>
      </c>
      <c r="G92" s="7" t="s">
        <v>37</v>
      </c>
      <c r="H92" s="8"/>
    </row>
    <row r="93" spans="1:8" x14ac:dyDescent="0.2">
      <c r="A93" s="3">
        <v>43164</v>
      </c>
      <c r="B93" s="3" t="s">
        <v>67</v>
      </c>
      <c r="C93" s="36" t="s">
        <v>60</v>
      </c>
      <c r="D93" s="3">
        <v>31191</v>
      </c>
      <c r="E93" s="5">
        <v>45524</v>
      </c>
      <c r="F93" s="4">
        <v>533.52</v>
      </c>
      <c r="G93" s="7" t="s">
        <v>37</v>
      </c>
      <c r="H93" s="8"/>
    </row>
    <row r="94" spans="1:8" x14ac:dyDescent="0.2">
      <c r="A94" s="3">
        <v>5595</v>
      </c>
      <c r="B94" s="3" t="s">
        <v>66</v>
      </c>
      <c r="C94" s="36" t="s">
        <v>71</v>
      </c>
      <c r="D94" s="3">
        <v>33686</v>
      </c>
      <c r="E94" s="5">
        <v>45551</v>
      </c>
      <c r="F94" s="4">
        <v>515.47</v>
      </c>
      <c r="G94" s="7" t="s">
        <v>37</v>
      </c>
      <c r="H94" s="8"/>
    </row>
    <row r="95" spans="1:8" x14ac:dyDescent="0.2">
      <c r="A95" s="3">
        <v>5677</v>
      </c>
      <c r="B95" s="3" t="s">
        <v>66</v>
      </c>
      <c r="C95" s="36" t="s">
        <v>151</v>
      </c>
      <c r="D95" s="3">
        <v>126996</v>
      </c>
      <c r="E95" s="5">
        <v>45589</v>
      </c>
      <c r="F95" s="4">
        <v>217</v>
      </c>
      <c r="G95" s="7" t="s">
        <v>37</v>
      </c>
      <c r="H95" s="8"/>
    </row>
    <row r="96" spans="1:8" x14ac:dyDescent="0.2">
      <c r="A96" s="3">
        <v>43736</v>
      </c>
      <c r="B96" s="3" t="s">
        <v>68</v>
      </c>
      <c r="C96" s="36" t="s">
        <v>153</v>
      </c>
      <c r="D96" s="3">
        <v>35178</v>
      </c>
      <c r="E96" s="5">
        <v>45574</v>
      </c>
      <c r="F96" s="4">
        <v>194.82</v>
      </c>
      <c r="G96" s="7" t="s">
        <v>37</v>
      </c>
      <c r="H96" s="8"/>
    </row>
    <row r="97" spans="1:8" x14ac:dyDescent="0.2">
      <c r="A97" s="3">
        <v>726</v>
      </c>
      <c r="B97" s="3" t="s">
        <v>69</v>
      </c>
      <c r="C97" s="40" t="s">
        <v>152</v>
      </c>
      <c r="D97" s="3" t="s">
        <v>70</v>
      </c>
      <c r="E97" s="5">
        <v>45546</v>
      </c>
      <c r="F97" s="4">
        <v>255.93</v>
      </c>
      <c r="G97" s="7" t="s">
        <v>37</v>
      </c>
      <c r="H97" s="8"/>
    </row>
    <row r="98" spans="1:8" x14ac:dyDescent="0.2">
      <c r="A98" s="3">
        <v>20050</v>
      </c>
      <c r="B98" s="3" t="s">
        <v>13</v>
      </c>
      <c r="C98" s="36" t="s">
        <v>29</v>
      </c>
      <c r="D98" s="3" t="s">
        <v>72</v>
      </c>
      <c r="E98" s="5">
        <v>45526</v>
      </c>
      <c r="F98" s="4">
        <v>383.73</v>
      </c>
      <c r="G98" s="7" t="s">
        <v>37</v>
      </c>
      <c r="H98" s="8"/>
    </row>
    <row r="99" spans="1:8" x14ac:dyDescent="0.2">
      <c r="A99" s="3">
        <v>19194</v>
      </c>
      <c r="B99" s="3" t="s">
        <v>13</v>
      </c>
      <c r="C99" s="36" t="s">
        <v>60</v>
      </c>
      <c r="D99" s="3" t="s">
        <v>73</v>
      </c>
      <c r="E99" s="5">
        <v>45490</v>
      </c>
      <c r="F99" s="4">
        <v>476.85</v>
      </c>
      <c r="G99" s="7" t="s">
        <v>37</v>
      </c>
      <c r="H99" s="8"/>
    </row>
    <row r="100" spans="1:8" x14ac:dyDescent="0.2">
      <c r="A100" s="3">
        <v>3015326</v>
      </c>
      <c r="B100" s="3" t="s">
        <v>74</v>
      </c>
      <c r="C100" s="36" t="s">
        <v>71</v>
      </c>
      <c r="D100" s="3">
        <v>31594</v>
      </c>
      <c r="E100" s="5">
        <v>45552</v>
      </c>
      <c r="F100" s="4">
        <v>660</v>
      </c>
      <c r="G100" s="7" t="s">
        <v>37</v>
      </c>
      <c r="H100" s="8"/>
    </row>
    <row r="101" spans="1:8" x14ac:dyDescent="0.2">
      <c r="A101" s="12">
        <v>486941</v>
      </c>
      <c r="B101" s="12" t="s">
        <v>75</v>
      </c>
      <c r="C101" s="36" t="s">
        <v>151</v>
      </c>
      <c r="D101" s="12">
        <v>38307</v>
      </c>
      <c r="E101" s="11">
        <v>45519</v>
      </c>
      <c r="F101" s="14">
        <v>1077.8</v>
      </c>
      <c r="G101" s="15" t="s">
        <v>37</v>
      </c>
      <c r="H101" s="16"/>
    </row>
    <row r="102" spans="1:8" x14ac:dyDescent="0.2">
      <c r="A102" s="12">
        <v>2992</v>
      </c>
      <c r="B102" s="12" t="s">
        <v>76</v>
      </c>
      <c r="C102" s="36" t="s">
        <v>153</v>
      </c>
      <c r="D102" s="12">
        <v>38432</v>
      </c>
      <c r="E102" s="11">
        <v>45562</v>
      </c>
      <c r="F102" s="14">
        <v>67.02</v>
      </c>
      <c r="G102" s="15" t="s">
        <v>37</v>
      </c>
      <c r="H102" s="16"/>
    </row>
    <row r="103" spans="1:8" x14ac:dyDescent="0.2">
      <c r="A103" s="12">
        <v>488492</v>
      </c>
      <c r="B103" s="12" t="s">
        <v>75</v>
      </c>
      <c r="C103" s="40" t="s">
        <v>152</v>
      </c>
      <c r="D103" s="12">
        <v>38307</v>
      </c>
      <c r="E103" s="11">
        <v>45582</v>
      </c>
      <c r="F103" s="14">
        <v>302.73</v>
      </c>
      <c r="G103" s="15" t="s">
        <v>37</v>
      </c>
      <c r="H103" s="16"/>
    </row>
    <row r="104" spans="1:8" x14ac:dyDescent="0.2">
      <c r="A104" s="12">
        <v>3430</v>
      </c>
      <c r="B104" s="12" t="s">
        <v>76</v>
      </c>
      <c r="C104" s="40" t="s">
        <v>152</v>
      </c>
      <c r="D104" s="12">
        <v>38357</v>
      </c>
      <c r="E104" s="11">
        <v>45604</v>
      </c>
      <c r="F104" s="14">
        <v>52.22</v>
      </c>
      <c r="G104" s="15" t="s">
        <v>37</v>
      </c>
      <c r="H104" s="16"/>
    </row>
    <row r="105" spans="1:8" x14ac:dyDescent="0.2">
      <c r="A105" s="12">
        <v>2908</v>
      </c>
      <c r="B105" s="12" t="s">
        <v>57</v>
      </c>
      <c r="C105" s="36" t="s">
        <v>29</v>
      </c>
      <c r="D105" s="12">
        <v>38433</v>
      </c>
      <c r="E105" s="11">
        <v>45687</v>
      </c>
      <c r="F105" s="14">
        <v>204.02</v>
      </c>
      <c r="G105" s="15" t="s">
        <v>37</v>
      </c>
      <c r="H105" s="16"/>
    </row>
    <row r="106" spans="1:8" x14ac:dyDescent="0.2">
      <c r="A106" s="12">
        <v>490854</v>
      </c>
      <c r="B106" s="12" t="s">
        <v>75</v>
      </c>
      <c r="C106" s="36" t="s">
        <v>60</v>
      </c>
      <c r="D106" s="12">
        <v>38307</v>
      </c>
      <c r="E106" s="11">
        <v>45680</v>
      </c>
      <c r="F106" s="14">
        <v>2260.79</v>
      </c>
      <c r="G106" s="15" t="s">
        <v>37</v>
      </c>
      <c r="H106" s="16"/>
    </row>
    <row r="107" spans="1:8" x14ac:dyDescent="0.2">
      <c r="A107" s="12">
        <v>162641</v>
      </c>
      <c r="B107" s="12" t="s">
        <v>77</v>
      </c>
      <c r="C107" s="36" t="s">
        <v>71</v>
      </c>
      <c r="D107" s="12">
        <v>37677</v>
      </c>
      <c r="E107" s="11">
        <v>45618</v>
      </c>
      <c r="F107" s="14">
        <v>672.8</v>
      </c>
      <c r="G107" s="15" t="s">
        <v>37</v>
      </c>
      <c r="H107" s="16"/>
    </row>
    <row r="108" spans="1:8" x14ac:dyDescent="0.2">
      <c r="A108" s="12">
        <v>21560</v>
      </c>
      <c r="B108" s="12" t="s">
        <v>77</v>
      </c>
      <c r="C108" s="36" t="s">
        <v>151</v>
      </c>
      <c r="D108" s="12">
        <v>109838</v>
      </c>
      <c r="E108" s="11">
        <v>45574</v>
      </c>
      <c r="F108" s="14">
        <v>99.1</v>
      </c>
      <c r="G108" s="15" t="s">
        <v>37</v>
      </c>
      <c r="H108" s="16"/>
    </row>
    <row r="109" spans="1:8" x14ac:dyDescent="0.2">
      <c r="A109" s="3">
        <v>132639</v>
      </c>
      <c r="B109" s="3" t="s">
        <v>78</v>
      </c>
      <c r="C109" s="36" t="s">
        <v>153</v>
      </c>
      <c r="D109" s="3" t="s">
        <v>79</v>
      </c>
      <c r="E109" s="5">
        <v>45449</v>
      </c>
      <c r="F109" s="4">
        <v>103.82</v>
      </c>
      <c r="G109" s="7" t="s">
        <v>37</v>
      </c>
      <c r="H109" s="8"/>
    </row>
    <row r="110" spans="1:8" x14ac:dyDescent="0.2">
      <c r="A110" s="3">
        <v>18322</v>
      </c>
      <c r="B110" s="3" t="s">
        <v>13</v>
      </c>
      <c r="C110" s="40" t="s">
        <v>152</v>
      </c>
      <c r="D110" s="3" t="s">
        <v>80</v>
      </c>
      <c r="E110" s="5">
        <v>45461</v>
      </c>
      <c r="F110" s="4">
        <v>56.24</v>
      </c>
      <c r="G110" s="7" t="s">
        <v>37</v>
      </c>
      <c r="H110" s="8"/>
    </row>
    <row r="111" spans="1:8" x14ac:dyDescent="0.2">
      <c r="A111" s="3">
        <v>54197</v>
      </c>
      <c r="B111" s="3" t="s">
        <v>81</v>
      </c>
      <c r="C111" s="36" t="s">
        <v>29</v>
      </c>
      <c r="D111" s="3" t="s">
        <v>82</v>
      </c>
      <c r="E111" s="5">
        <v>45131</v>
      </c>
      <c r="F111" s="17">
        <v>107.43</v>
      </c>
      <c r="G111" s="7" t="s">
        <v>37</v>
      </c>
      <c r="H111" s="8"/>
    </row>
    <row r="112" spans="1:8" x14ac:dyDescent="0.2">
      <c r="A112" s="3">
        <v>46812</v>
      </c>
      <c r="B112" s="3" t="s">
        <v>61</v>
      </c>
      <c r="C112" s="36" t="s">
        <v>60</v>
      </c>
      <c r="D112" s="3">
        <v>1269</v>
      </c>
      <c r="E112" s="5">
        <v>45226</v>
      </c>
      <c r="F112" s="17">
        <v>370.62</v>
      </c>
      <c r="G112" s="7" t="s">
        <v>37</v>
      </c>
      <c r="H112" s="8"/>
    </row>
    <row r="113" spans="1:8" x14ac:dyDescent="0.2">
      <c r="A113" s="3">
        <v>1221362</v>
      </c>
      <c r="B113" s="3" t="s">
        <v>35</v>
      </c>
      <c r="C113" s="36" t="s">
        <v>71</v>
      </c>
      <c r="D113" s="3" t="s">
        <v>83</v>
      </c>
      <c r="E113" s="5">
        <v>45433</v>
      </c>
      <c r="F113" s="17">
        <v>1017.68</v>
      </c>
      <c r="G113" s="7" t="s">
        <v>37</v>
      </c>
      <c r="H113" s="8"/>
    </row>
    <row r="114" spans="1:8" x14ac:dyDescent="0.2">
      <c r="A114" s="3">
        <v>105631</v>
      </c>
      <c r="B114" s="3" t="s">
        <v>59</v>
      </c>
      <c r="C114" s="36" t="s">
        <v>151</v>
      </c>
      <c r="D114" s="3">
        <v>35906</v>
      </c>
      <c r="E114" s="5">
        <v>45475</v>
      </c>
      <c r="F114" s="17">
        <v>869.88</v>
      </c>
      <c r="G114" s="7" t="s">
        <v>37</v>
      </c>
      <c r="H114" s="8"/>
    </row>
    <row r="115" spans="1:8" x14ac:dyDescent="0.2">
      <c r="A115" s="3">
        <v>163823</v>
      </c>
      <c r="B115" s="3" t="s">
        <v>84</v>
      </c>
      <c r="C115" s="36" t="s">
        <v>153</v>
      </c>
      <c r="D115" s="3">
        <v>35909</v>
      </c>
      <c r="E115" s="5">
        <v>45582</v>
      </c>
      <c r="F115" s="17">
        <v>323.60000000000002</v>
      </c>
      <c r="G115" s="7" t="s">
        <v>37</v>
      </c>
      <c r="H115" s="8"/>
    </row>
    <row r="116" spans="1:8" x14ac:dyDescent="0.2">
      <c r="A116" s="3">
        <v>82353</v>
      </c>
      <c r="B116" s="3" t="s">
        <v>17</v>
      </c>
      <c r="C116" s="40" t="s">
        <v>152</v>
      </c>
      <c r="D116" s="3">
        <v>37678</v>
      </c>
      <c r="E116" s="5">
        <v>45582</v>
      </c>
      <c r="F116" s="17">
        <v>1068.67</v>
      </c>
      <c r="G116" s="7" t="s">
        <v>37</v>
      </c>
      <c r="H116" s="8"/>
    </row>
    <row r="117" spans="1:8" x14ac:dyDescent="0.2">
      <c r="A117" s="3">
        <v>107029</v>
      </c>
      <c r="B117" s="3" t="s">
        <v>59</v>
      </c>
      <c r="C117" s="36" t="s">
        <v>29</v>
      </c>
      <c r="D117" s="3">
        <v>35906</v>
      </c>
      <c r="E117" s="5">
        <v>45565</v>
      </c>
      <c r="F117" s="17">
        <v>1160.79</v>
      </c>
      <c r="G117" s="7" t="s">
        <v>37</v>
      </c>
      <c r="H117" s="8"/>
    </row>
    <row r="118" spans="1:8" x14ac:dyDescent="0.2">
      <c r="A118" s="3">
        <v>25385</v>
      </c>
      <c r="B118" s="3" t="s">
        <v>85</v>
      </c>
      <c r="C118" s="36" t="s">
        <v>60</v>
      </c>
      <c r="D118" s="3">
        <v>35925</v>
      </c>
      <c r="E118" s="5">
        <v>45525</v>
      </c>
      <c r="F118" s="17">
        <v>587.70000000000005</v>
      </c>
      <c r="G118" s="7" t="s">
        <v>37</v>
      </c>
      <c r="H118" s="8"/>
    </row>
    <row r="119" spans="1:8" x14ac:dyDescent="0.2">
      <c r="A119" s="3">
        <v>159016</v>
      </c>
      <c r="B119" s="3" t="s">
        <v>22</v>
      </c>
      <c r="C119" s="36" t="s">
        <v>71</v>
      </c>
      <c r="D119" s="3">
        <v>35905</v>
      </c>
      <c r="E119" s="5">
        <v>45439</v>
      </c>
      <c r="F119" s="17">
        <v>675.77</v>
      </c>
      <c r="G119" s="7" t="s">
        <v>37</v>
      </c>
      <c r="H119" s="8"/>
    </row>
    <row r="120" spans="1:8" x14ac:dyDescent="0.2">
      <c r="A120" s="3">
        <v>105633</v>
      </c>
      <c r="B120" s="3" t="s">
        <v>59</v>
      </c>
      <c r="C120" s="36" t="s">
        <v>151</v>
      </c>
      <c r="D120" s="3">
        <v>35906</v>
      </c>
      <c r="E120" s="5">
        <v>45475</v>
      </c>
      <c r="F120" s="17">
        <v>43</v>
      </c>
      <c r="G120" s="7" t="s">
        <v>37</v>
      </c>
      <c r="H120" s="8"/>
    </row>
    <row r="121" spans="1:8" x14ac:dyDescent="0.2">
      <c r="A121" s="3">
        <v>103950</v>
      </c>
      <c r="B121" s="3" t="s">
        <v>59</v>
      </c>
      <c r="C121" s="36" t="s">
        <v>153</v>
      </c>
      <c r="D121" s="3">
        <v>35906</v>
      </c>
      <c r="E121" s="5">
        <v>45378</v>
      </c>
      <c r="F121" s="17">
        <v>43.68</v>
      </c>
      <c r="G121" s="7" t="s">
        <v>37</v>
      </c>
      <c r="H121" s="8"/>
    </row>
    <row r="122" spans="1:8" x14ac:dyDescent="0.2">
      <c r="A122" s="3">
        <v>103949</v>
      </c>
      <c r="B122" s="3" t="s">
        <v>59</v>
      </c>
      <c r="C122" s="40" t="s">
        <v>152</v>
      </c>
      <c r="D122" s="3">
        <v>35906</v>
      </c>
      <c r="E122" s="5">
        <v>45378</v>
      </c>
      <c r="F122" s="17">
        <v>416.01</v>
      </c>
      <c r="G122" s="7" t="s">
        <v>37</v>
      </c>
      <c r="H122" s="8"/>
    </row>
    <row r="123" spans="1:8" x14ac:dyDescent="0.2">
      <c r="A123" s="3">
        <v>107028</v>
      </c>
      <c r="B123" s="3" t="s">
        <v>59</v>
      </c>
      <c r="C123" s="36" t="s">
        <v>29</v>
      </c>
      <c r="D123" s="3">
        <v>35906</v>
      </c>
      <c r="E123" s="5">
        <v>45565</v>
      </c>
      <c r="F123" s="17">
        <v>166.68</v>
      </c>
      <c r="G123" s="7" t="s">
        <v>37</v>
      </c>
      <c r="H123" s="8"/>
    </row>
    <row r="124" spans="1:8" x14ac:dyDescent="0.2">
      <c r="A124" s="3">
        <v>130590</v>
      </c>
      <c r="B124" s="3" t="s">
        <v>78</v>
      </c>
      <c r="C124" s="36" t="s">
        <v>60</v>
      </c>
      <c r="D124" s="3">
        <v>109726</v>
      </c>
      <c r="E124" s="5">
        <v>45366</v>
      </c>
      <c r="F124" s="17">
        <v>617.03</v>
      </c>
      <c r="G124" s="7" t="s">
        <v>37</v>
      </c>
      <c r="H124" s="8"/>
    </row>
    <row r="125" spans="1:8" x14ac:dyDescent="0.2">
      <c r="A125" s="3">
        <v>283537</v>
      </c>
      <c r="B125" s="3" t="s">
        <v>31</v>
      </c>
      <c r="C125" s="36" t="s">
        <v>71</v>
      </c>
      <c r="D125" s="3">
        <v>41517</v>
      </c>
      <c r="E125" s="5">
        <v>45691</v>
      </c>
      <c r="F125" s="17">
        <v>1888.92</v>
      </c>
      <c r="G125" s="7" t="s">
        <v>37</v>
      </c>
      <c r="H125" s="2"/>
    </row>
    <row r="126" spans="1:8" x14ac:dyDescent="0.2">
      <c r="A126" s="3">
        <v>3251192</v>
      </c>
      <c r="B126" s="3" t="s">
        <v>74</v>
      </c>
      <c r="C126" s="36" t="s">
        <v>151</v>
      </c>
      <c r="D126" s="3">
        <v>40116</v>
      </c>
      <c r="E126" s="5">
        <v>45680</v>
      </c>
      <c r="F126" s="18">
        <v>268</v>
      </c>
      <c r="G126" s="7" t="s">
        <v>37</v>
      </c>
      <c r="H126" s="2"/>
    </row>
    <row r="127" spans="1:8" x14ac:dyDescent="0.2">
      <c r="A127" s="3">
        <v>458370</v>
      </c>
      <c r="B127" s="3" t="s">
        <v>86</v>
      </c>
      <c r="C127" s="36" t="s">
        <v>153</v>
      </c>
      <c r="D127" s="3">
        <v>458370</v>
      </c>
      <c r="E127" s="5">
        <v>45694</v>
      </c>
      <c r="F127" s="4">
        <v>738.35</v>
      </c>
      <c r="G127" s="7" t="s">
        <v>37</v>
      </c>
      <c r="H127" s="8"/>
    </row>
    <row r="128" spans="1:8" x14ac:dyDescent="0.2">
      <c r="A128" s="3">
        <v>5848</v>
      </c>
      <c r="B128" s="3" t="s">
        <v>49</v>
      </c>
      <c r="C128" s="40" t="s">
        <v>152</v>
      </c>
      <c r="D128" s="3">
        <v>43131</v>
      </c>
      <c r="E128" s="5">
        <v>45670</v>
      </c>
      <c r="F128" s="4">
        <v>411.53</v>
      </c>
      <c r="G128" s="7" t="s">
        <v>37</v>
      </c>
      <c r="H128" s="8"/>
    </row>
    <row r="129" spans="1:8" x14ac:dyDescent="0.2">
      <c r="A129" s="3">
        <v>24900</v>
      </c>
      <c r="B129" s="3" t="s">
        <v>87</v>
      </c>
      <c r="C129" s="36" t="s">
        <v>29</v>
      </c>
      <c r="D129" s="3">
        <v>39027</v>
      </c>
      <c r="E129" s="5">
        <v>45678</v>
      </c>
      <c r="F129" s="4">
        <v>135.02000000000001</v>
      </c>
      <c r="G129" s="7" t="s">
        <v>37</v>
      </c>
      <c r="H129" s="8"/>
    </row>
    <row r="130" spans="1:8" x14ac:dyDescent="0.2">
      <c r="A130" s="3">
        <v>24456</v>
      </c>
      <c r="B130" s="3" t="s">
        <v>87</v>
      </c>
      <c r="C130" s="36" t="s">
        <v>60</v>
      </c>
      <c r="D130" s="3">
        <v>39027</v>
      </c>
      <c r="E130" s="5">
        <v>45562</v>
      </c>
      <c r="F130" s="4">
        <v>882.04</v>
      </c>
      <c r="G130" s="7" t="s">
        <v>37</v>
      </c>
      <c r="H130" s="8"/>
    </row>
    <row r="131" spans="1:8" x14ac:dyDescent="0.2">
      <c r="A131" s="10">
        <v>6052</v>
      </c>
      <c r="B131" s="12" t="s">
        <v>49</v>
      </c>
      <c r="C131" s="36" t="s">
        <v>71</v>
      </c>
      <c r="D131" s="3">
        <v>48722</v>
      </c>
      <c r="E131" s="11">
        <v>45745</v>
      </c>
      <c r="F131" s="13">
        <v>316.77999999999997</v>
      </c>
      <c r="G131" s="7" t="s">
        <v>37</v>
      </c>
      <c r="H131" s="8"/>
    </row>
    <row r="132" spans="1:8" x14ac:dyDescent="0.2">
      <c r="A132" s="3">
        <v>45444</v>
      </c>
      <c r="B132" s="3" t="s">
        <v>77</v>
      </c>
      <c r="C132" s="36" t="s">
        <v>151</v>
      </c>
      <c r="D132" s="3">
        <v>46576</v>
      </c>
      <c r="E132" s="5">
        <v>45738</v>
      </c>
      <c r="F132" s="4">
        <v>488.45</v>
      </c>
      <c r="G132" s="7" t="s">
        <v>37</v>
      </c>
      <c r="H132" s="8"/>
    </row>
    <row r="133" spans="1:8" x14ac:dyDescent="0.2">
      <c r="A133" s="3">
        <v>144401</v>
      </c>
      <c r="B133" s="3" t="s">
        <v>32</v>
      </c>
      <c r="C133" s="36" t="s">
        <v>153</v>
      </c>
      <c r="D133" s="3">
        <v>116613</v>
      </c>
      <c r="E133" s="5">
        <v>45882</v>
      </c>
      <c r="F133" s="4">
        <v>84.72</v>
      </c>
      <c r="G133" s="3"/>
      <c r="H133" s="2"/>
    </row>
    <row r="134" spans="1:8" x14ac:dyDescent="0.2">
      <c r="A134" s="3">
        <v>7012</v>
      </c>
      <c r="B134" s="3" t="s">
        <v>21</v>
      </c>
      <c r="C134" s="40" t="s">
        <v>152</v>
      </c>
      <c r="D134" s="3">
        <v>41525</v>
      </c>
      <c r="E134" s="5">
        <v>45477</v>
      </c>
      <c r="F134" s="4">
        <v>64.73</v>
      </c>
      <c r="G134" s="7" t="s">
        <v>37</v>
      </c>
      <c r="H134" s="2"/>
    </row>
    <row r="135" spans="1:8" x14ac:dyDescent="0.2">
      <c r="A135" s="3">
        <v>72206</v>
      </c>
      <c r="B135" s="3" t="s">
        <v>36</v>
      </c>
      <c r="C135" s="36" t="s">
        <v>29</v>
      </c>
      <c r="D135" s="3">
        <v>41523</v>
      </c>
      <c r="E135" s="5">
        <v>45478</v>
      </c>
      <c r="F135" s="4">
        <v>667.87</v>
      </c>
      <c r="G135" s="7" t="s">
        <v>37</v>
      </c>
      <c r="H135" s="2"/>
    </row>
    <row r="136" spans="1:8" x14ac:dyDescent="0.2">
      <c r="A136" s="3">
        <v>73744</v>
      </c>
      <c r="B136" s="3" t="s">
        <v>36</v>
      </c>
      <c r="C136" s="36" t="s">
        <v>60</v>
      </c>
      <c r="D136" s="3">
        <v>41523</v>
      </c>
      <c r="E136" s="5">
        <v>45568</v>
      </c>
      <c r="F136" s="4">
        <v>688.69</v>
      </c>
      <c r="G136" s="7" t="s">
        <v>37</v>
      </c>
      <c r="H136" s="2"/>
    </row>
    <row r="137" spans="1:8" x14ac:dyDescent="0.2">
      <c r="A137" s="3">
        <v>73745</v>
      </c>
      <c r="B137" s="3" t="s">
        <v>36</v>
      </c>
      <c r="C137" s="36" t="s">
        <v>71</v>
      </c>
      <c r="D137" s="3">
        <v>41523</v>
      </c>
      <c r="E137" s="5">
        <v>45568</v>
      </c>
      <c r="F137" s="4">
        <v>143.03</v>
      </c>
      <c r="G137" s="7" t="s">
        <v>37</v>
      </c>
      <c r="H137" s="2"/>
    </row>
    <row r="138" spans="1:8" x14ac:dyDescent="0.2">
      <c r="A138" s="3">
        <v>107255</v>
      </c>
      <c r="B138" s="3" t="s">
        <v>59</v>
      </c>
      <c r="C138" s="36" t="s">
        <v>151</v>
      </c>
      <c r="D138" s="3">
        <v>44493</v>
      </c>
      <c r="E138" s="5">
        <v>45575</v>
      </c>
      <c r="F138" s="4">
        <v>1261.6600000000001</v>
      </c>
      <c r="G138" s="7" t="s">
        <v>37</v>
      </c>
      <c r="H138" s="2"/>
    </row>
    <row r="139" spans="1:8" x14ac:dyDescent="0.2">
      <c r="A139" s="3">
        <v>108330</v>
      </c>
      <c r="B139" s="3" t="s">
        <v>59</v>
      </c>
      <c r="C139" s="36" t="s">
        <v>153</v>
      </c>
      <c r="D139" s="3">
        <v>41521</v>
      </c>
      <c r="E139" s="5">
        <v>45636</v>
      </c>
      <c r="F139" s="4">
        <v>43.04</v>
      </c>
      <c r="G139" s="7" t="s">
        <v>37</v>
      </c>
      <c r="H139" s="2"/>
    </row>
    <row r="140" spans="1:8" x14ac:dyDescent="0.2">
      <c r="A140" s="3">
        <v>108329</v>
      </c>
      <c r="B140" s="3" t="s">
        <v>59</v>
      </c>
      <c r="C140" s="40" t="s">
        <v>152</v>
      </c>
      <c r="D140" s="3">
        <v>41521</v>
      </c>
      <c r="E140" s="5">
        <v>45636</v>
      </c>
      <c r="F140" s="4">
        <v>357.98</v>
      </c>
      <c r="G140" s="7" t="s">
        <v>37</v>
      </c>
      <c r="H140" s="2"/>
    </row>
    <row r="141" spans="1:8" x14ac:dyDescent="0.2">
      <c r="A141" s="3">
        <v>74986</v>
      </c>
      <c r="B141" s="3" t="s">
        <v>36</v>
      </c>
      <c r="C141" s="36" t="s">
        <v>29</v>
      </c>
      <c r="D141" s="3">
        <v>41523</v>
      </c>
      <c r="E141" s="5">
        <v>45636</v>
      </c>
      <c r="F141" s="4">
        <v>774.06</v>
      </c>
      <c r="G141" s="7" t="s">
        <v>37</v>
      </c>
      <c r="H141" s="2"/>
    </row>
    <row r="142" spans="1:8" x14ac:dyDescent="0.2">
      <c r="A142" s="3">
        <v>9671</v>
      </c>
      <c r="B142" s="3" t="s">
        <v>21</v>
      </c>
      <c r="C142" s="36" t="s">
        <v>60</v>
      </c>
      <c r="D142" s="3">
        <v>41525</v>
      </c>
      <c r="E142" s="5">
        <v>45637</v>
      </c>
      <c r="F142" s="4">
        <v>414.33</v>
      </c>
      <c r="G142" s="7" t="s">
        <v>37</v>
      </c>
      <c r="H142" s="2"/>
    </row>
    <row r="143" spans="1:8" x14ac:dyDescent="0.2">
      <c r="A143" s="3">
        <v>9677</v>
      </c>
      <c r="B143" s="3" t="s">
        <v>21</v>
      </c>
      <c r="C143" s="36" t="s">
        <v>71</v>
      </c>
      <c r="D143" s="3">
        <v>41525</v>
      </c>
      <c r="E143" s="5">
        <v>45637</v>
      </c>
      <c r="F143" s="4">
        <v>91.75</v>
      </c>
      <c r="G143" s="7" t="s">
        <v>37</v>
      </c>
      <c r="H143" s="2"/>
    </row>
    <row r="144" spans="1:8" x14ac:dyDescent="0.2">
      <c r="A144" s="3">
        <v>317827</v>
      </c>
      <c r="B144" s="3" t="s">
        <v>88</v>
      </c>
      <c r="C144" s="36" t="s">
        <v>151</v>
      </c>
      <c r="D144" s="3">
        <v>42791</v>
      </c>
      <c r="E144" s="5">
        <v>45763</v>
      </c>
      <c r="F144" s="4">
        <v>804</v>
      </c>
      <c r="G144" s="7" t="s">
        <v>37</v>
      </c>
      <c r="H144" s="2"/>
    </row>
    <row r="145" spans="1:8" x14ac:dyDescent="0.2">
      <c r="A145" s="3">
        <v>24900</v>
      </c>
      <c r="B145" s="3" t="s">
        <v>89</v>
      </c>
      <c r="C145" s="36" t="s">
        <v>153</v>
      </c>
      <c r="D145" s="3">
        <v>39027</v>
      </c>
      <c r="E145" s="5">
        <v>45678</v>
      </c>
      <c r="F145" s="4">
        <v>135.02000000000001</v>
      </c>
      <c r="G145" s="3"/>
      <c r="H145" s="2"/>
    </row>
    <row r="146" spans="1:8" x14ac:dyDescent="0.2">
      <c r="A146" s="3">
        <v>3801</v>
      </c>
      <c r="B146" s="3" t="s">
        <v>65</v>
      </c>
      <c r="C146" s="40" t="s">
        <v>152</v>
      </c>
      <c r="D146" s="3">
        <v>44139</v>
      </c>
      <c r="E146" s="5">
        <v>45678</v>
      </c>
      <c r="F146" s="4">
        <v>752.14</v>
      </c>
      <c r="G146" s="3"/>
      <c r="H146" s="2"/>
    </row>
    <row r="147" spans="1:8" x14ac:dyDescent="0.2">
      <c r="A147" s="3">
        <v>4030</v>
      </c>
      <c r="B147" s="3" t="s">
        <v>34</v>
      </c>
      <c r="C147" s="36" t="s">
        <v>29</v>
      </c>
      <c r="D147" s="3">
        <v>44484</v>
      </c>
      <c r="E147" s="5">
        <v>45681</v>
      </c>
      <c r="F147" s="4">
        <v>178.05</v>
      </c>
      <c r="G147" s="3"/>
      <c r="H147" s="2"/>
    </row>
    <row r="148" spans="1:8" x14ac:dyDescent="0.2">
      <c r="A148" s="3">
        <v>15482</v>
      </c>
      <c r="B148" s="3" t="s">
        <v>24</v>
      </c>
      <c r="C148" s="36" t="s">
        <v>60</v>
      </c>
      <c r="D148" s="3">
        <v>44136</v>
      </c>
      <c r="E148" s="5">
        <v>45681</v>
      </c>
      <c r="F148" s="4">
        <v>563.67999999999995</v>
      </c>
      <c r="G148" s="3"/>
      <c r="H148" s="2"/>
    </row>
    <row r="149" spans="1:8" x14ac:dyDescent="0.2">
      <c r="A149" s="3">
        <v>8057</v>
      </c>
      <c r="B149" s="3" t="s">
        <v>26</v>
      </c>
      <c r="C149" s="36" t="s">
        <v>71</v>
      </c>
      <c r="D149" s="3">
        <v>44132</v>
      </c>
      <c r="E149" s="5">
        <v>45686</v>
      </c>
      <c r="F149" s="4">
        <v>870.79</v>
      </c>
      <c r="G149" s="3"/>
      <c r="H149" s="2"/>
    </row>
    <row r="150" spans="1:8" x14ac:dyDescent="0.2">
      <c r="A150" s="3">
        <v>16231</v>
      </c>
      <c r="B150" s="3" t="s">
        <v>24</v>
      </c>
      <c r="C150" s="36" t="s">
        <v>151</v>
      </c>
      <c r="D150" s="3">
        <v>16231</v>
      </c>
      <c r="E150" s="5">
        <v>45695</v>
      </c>
      <c r="F150" s="4">
        <v>89.84</v>
      </c>
      <c r="G150" s="3"/>
      <c r="H150" s="2"/>
    </row>
    <row r="151" spans="1:8" x14ac:dyDescent="0.2">
      <c r="A151" s="3">
        <v>71612</v>
      </c>
      <c r="B151" s="3" t="s">
        <v>38</v>
      </c>
      <c r="C151" s="36" t="s">
        <v>153</v>
      </c>
      <c r="D151" s="3">
        <v>44482</v>
      </c>
      <c r="E151" s="5">
        <v>45699</v>
      </c>
      <c r="F151" s="4">
        <v>672.9</v>
      </c>
      <c r="G151" s="7" t="s">
        <v>37</v>
      </c>
      <c r="H151" s="2"/>
    </row>
    <row r="152" spans="1:8" x14ac:dyDescent="0.2">
      <c r="A152" s="3">
        <v>3976</v>
      </c>
      <c r="B152" s="3" t="s">
        <v>65</v>
      </c>
      <c r="C152" s="40" t="s">
        <v>152</v>
      </c>
      <c r="D152" s="3">
        <v>44139</v>
      </c>
      <c r="E152" s="5">
        <v>45706</v>
      </c>
      <c r="F152" s="4">
        <v>192.62</v>
      </c>
      <c r="G152" s="3"/>
      <c r="H152" s="2"/>
    </row>
    <row r="153" spans="1:8" x14ac:dyDescent="0.2">
      <c r="A153" s="3">
        <v>169839</v>
      </c>
      <c r="B153" s="3" t="s">
        <v>22</v>
      </c>
      <c r="C153" s="36" t="s">
        <v>29</v>
      </c>
      <c r="D153" s="3">
        <v>41520</v>
      </c>
      <c r="E153" s="5">
        <v>45743</v>
      </c>
      <c r="F153" s="4">
        <v>1391.24</v>
      </c>
      <c r="G153" s="3"/>
      <c r="H153" s="2"/>
    </row>
    <row r="154" spans="1:8" x14ac:dyDescent="0.2">
      <c r="A154" s="3">
        <v>10253</v>
      </c>
      <c r="B154" s="3" t="s">
        <v>90</v>
      </c>
      <c r="C154" s="36" t="s">
        <v>60</v>
      </c>
      <c r="D154" s="3">
        <v>45624</v>
      </c>
      <c r="E154" s="5">
        <v>45748</v>
      </c>
      <c r="F154" s="4">
        <v>421.52</v>
      </c>
      <c r="G154" s="7" t="s">
        <v>37</v>
      </c>
      <c r="H154" s="2"/>
    </row>
    <row r="155" spans="1:8" x14ac:dyDescent="0.2">
      <c r="A155" s="3">
        <v>110630</v>
      </c>
      <c r="B155" s="3" t="s">
        <v>59</v>
      </c>
      <c r="C155" s="36" t="s">
        <v>71</v>
      </c>
      <c r="D155" s="3">
        <v>44493</v>
      </c>
      <c r="E155" s="5">
        <v>45749</v>
      </c>
      <c r="F155" s="4">
        <v>1410.63</v>
      </c>
      <c r="G155" s="7" t="s">
        <v>37</v>
      </c>
      <c r="H155" s="2"/>
    </row>
    <row r="156" spans="1:8" x14ac:dyDescent="0.2">
      <c r="A156" s="3">
        <v>77504</v>
      </c>
      <c r="B156" s="3" t="s">
        <v>36</v>
      </c>
      <c r="C156" s="36" t="s">
        <v>151</v>
      </c>
      <c r="D156" s="3">
        <v>41523</v>
      </c>
      <c r="E156" s="5">
        <v>45749</v>
      </c>
      <c r="F156" s="4">
        <v>339.52</v>
      </c>
      <c r="G156" s="7" t="s">
        <v>37</v>
      </c>
      <c r="H156" s="2"/>
    </row>
    <row r="157" spans="1:8" x14ac:dyDescent="0.2">
      <c r="A157" s="3">
        <v>77503</v>
      </c>
      <c r="B157" s="3" t="s">
        <v>36</v>
      </c>
      <c r="C157" s="36" t="s">
        <v>153</v>
      </c>
      <c r="D157" s="3">
        <v>41523</v>
      </c>
      <c r="E157" s="5">
        <v>45749</v>
      </c>
      <c r="F157" s="4">
        <v>502.74</v>
      </c>
      <c r="G157" s="7" t="s">
        <v>37</v>
      </c>
      <c r="H157" s="2"/>
    </row>
    <row r="158" spans="1:8" x14ac:dyDescent="0.2">
      <c r="A158" s="3">
        <v>11956</v>
      </c>
      <c r="B158" s="3" t="s">
        <v>21</v>
      </c>
      <c r="C158" s="40" t="s">
        <v>152</v>
      </c>
      <c r="D158" s="3">
        <v>45625</v>
      </c>
      <c r="E158" s="5">
        <v>45751</v>
      </c>
      <c r="F158" s="4">
        <v>268.23</v>
      </c>
      <c r="G158" s="7" t="s">
        <v>37</v>
      </c>
      <c r="H158" s="2"/>
    </row>
    <row r="159" spans="1:8" x14ac:dyDescent="0.2">
      <c r="A159" s="3">
        <v>172909</v>
      </c>
      <c r="B159" s="3" t="s">
        <v>84</v>
      </c>
      <c r="C159" s="36" t="s">
        <v>29</v>
      </c>
      <c r="D159" s="3">
        <v>43230</v>
      </c>
      <c r="E159" s="5">
        <v>45754</v>
      </c>
      <c r="F159" s="4">
        <v>461.13</v>
      </c>
      <c r="G159" s="7" t="s">
        <v>37</v>
      </c>
      <c r="H159" s="2"/>
    </row>
    <row r="160" spans="1:8" x14ac:dyDescent="0.2">
      <c r="A160" s="3">
        <v>459890</v>
      </c>
      <c r="B160" s="3" t="s">
        <v>86</v>
      </c>
      <c r="C160" s="36" t="s">
        <v>60</v>
      </c>
      <c r="D160" s="3">
        <v>45627</v>
      </c>
      <c r="E160" s="5">
        <v>45758</v>
      </c>
      <c r="F160" s="4">
        <v>165.32</v>
      </c>
      <c r="G160" s="7" t="s">
        <v>37</v>
      </c>
      <c r="H160" s="2"/>
    </row>
    <row r="161" spans="1:8" x14ac:dyDescent="0.2">
      <c r="A161" s="3">
        <v>9994</v>
      </c>
      <c r="B161" s="3" t="s">
        <v>91</v>
      </c>
      <c r="C161" s="36" t="s">
        <v>71</v>
      </c>
      <c r="D161" s="3">
        <v>42869</v>
      </c>
      <c r="E161" s="5">
        <v>45758</v>
      </c>
      <c r="F161" s="4">
        <v>451.6</v>
      </c>
      <c r="G161" s="7" t="s">
        <v>37</v>
      </c>
      <c r="H161" s="2"/>
    </row>
    <row r="162" spans="1:8" x14ac:dyDescent="0.2">
      <c r="A162" s="3">
        <v>10095</v>
      </c>
      <c r="B162" s="3" t="s">
        <v>92</v>
      </c>
      <c r="C162" s="36" t="s">
        <v>151</v>
      </c>
      <c r="D162" s="3">
        <v>47439</v>
      </c>
      <c r="E162" s="5">
        <v>45796</v>
      </c>
      <c r="F162" s="4">
        <v>573.42999999999995</v>
      </c>
      <c r="G162" s="7" t="s">
        <v>37</v>
      </c>
      <c r="H162" s="2"/>
    </row>
    <row r="163" spans="1:8" x14ac:dyDescent="0.2">
      <c r="A163" s="3">
        <v>6288</v>
      </c>
      <c r="B163" s="3" t="s">
        <v>49</v>
      </c>
      <c r="C163" s="36" t="s">
        <v>153</v>
      </c>
      <c r="D163" s="3">
        <v>48722</v>
      </c>
      <c r="E163" s="5">
        <v>45813</v>
      </c>
      <c r="F163" s="4">
        <v>1996.09</v>
      </c>
      <c r="G163" s="7" t="s">
        <v>37</v>
      </c>
      <c r="H163" s="2"/>
    </row>
    <row r="164" spans="1:8" x14ac:dyDescent="0.2">
      <c r="A164" s="3">
        <v>3791722</v>
      </c>
      <c r="B164" s="3" t="s">
        <v>93</v>
      </c>
      <c r="C164" s="40" t="s">
        <v>152</v>
      </c>
      <c r="D164" s="3">
        <v>49829</v>
      </c>
      <c r="E164" s="5">
        <v>45884</v>
      </c>
      <c r="F164" s="4">
        <v>911.96</v>
      </c>
      <c r="G164" s="7" t="s">
        <v>37</v>
      </c>
      <c r="H164" s="2"/>
    </row>
    <row r="165" spans="1:8" x14ac:dyDescent="0.2">
      <c r="A165" s="3">
        <v>25160</v>
      </c>
      <c r="B165" s="3" t="s">
        <v>46</v>
      </c>
      <c r="C165" s="36" t="s">
        <v>153</v>
      </c>
      <c r="D165" s="3" t="s">
        <v>52</v>
      </c>
      <c r="E165" s="5">
        <v>45574</v>
      </c>
      <c r="F165" s="4">
        <v>99.12</v>
      </c>
      <c r="G165" s="3"/>
      <c r="H165" s="2"/>
    </row>
  </sheetData>
  <autoFilter ref="A1:H165" xr:uid="{A3CE1375-07DB-4C95-8CBC-8D5904CE6AFC}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942B3-E5F3-4386-90D3-B488C208268E}">
  <dimension ref="A1:N39"/>
  <sheetViews>
    <sheetView workbookViewId="0">
      <selection activeCell="D17" sqref="D17"/>
    </sheetView>
  </sheetViews>
  <sheetFormatPr baseColWidth="10" defaultColWidth="8.83203125" defaultRowHeight="15" x14ac:dyDescent="0.2"/>
  <cols>
    <col min="1" max="1" width="16.5" bestFit="1" customWidth="1"/>
    <col min="2" max="2" width="33.33203125" bestFit="1" customWidth="1"/>
    <col min="3" max="3" width="33.33203125" customWidth="1"/>
    <col min="4" max="4" width="13.83203125" bestFit="1" customWidth="1"/>
    <col min="5" max="6" width="13.83203125" customWidth="1"/>
    <col min="7" max="7" width="28.83203125" bestFit="1" customWidth="1"/>
    <col min="8" max="8" width="18.1640625" bestFit="1" customWidth="1"/>
    <col min="9" max="9" width="18.1640625" customWidth="1"/>
    <col min="10" max="10" width="14" bestFit="1" customWidth="1"/>
    <col min="11" max="11" width="12" customWidth="1"/>
    <col min="12" max="12" width="10.1640625" bestFit="1" customWidth="1"/>
    <col min="13" max="13" width="18.1640625" bestFit="1" customWidth="1"/>
    <col min="14" max="14" width="25" bestFit="1" customWidth="1"/>
    <col min="15" max="15" width="17.6640625" bestFit="1" customWidth="1"/>
    <col min="17" max="17" width="17.6640625" bestFit="1" customWidth="1"/>
  </cols>
  <sheetData>
    <row r="1" spans="1:14" x14ac:dyDescent="0.2">
      <c r="A1" s="1" t="s">
        <v>171</v>
      </c>
      <c r="B1" s="1" t="s">
        <v>1</v>
      </c>
      <c r="C1" s="1" t="s">
        <v>165</v>
      </c>
      <c r="D1" s="1" t="s">
        <v>6</v>
      </c>
      <c r="E1" s="1" t="s">
        <v>154</v>
      </c>
      <c r="F1" s="1" t="s">
        <v>168</v>
      </c>
      <c r="G1" s="1" t="s">
        <v>169</v>
      </c>
      <c r="H1" s="1" t="s">
        <v>159</v>
      </c>
      <c r="I1" s="1" t="s">
        <v>170</v>
      </c>
      <c r="J1" s="1" t="s">
        <v>167</v>
      </c>
      <c r="K1" s="41" t="s">
        <v>166</v>
      </c>
      <c r="L1" s="41" t="s">
        <v>160</v>
      </c>
      <c r="M1" s="1" t="s">
        <v>158</v>
      </c>
      <c r="N1" s="1" t="s">
        <v>0</v>
      </c>
    </row>
    <row r="2" spans="1:14" x14ac:dyDescent="0.2">
      <c r="A2" s="35">
        <v>7287</v>
      </c>
      <c r="B2" s="42" t="s">
        <v>161</v>
      </c>
      <c r="C2" s="45"/>
      <c r="D2" s="35" t="s">
        <v>11</v>
      </c>
      <c r="E2" s="35" t="s">
        <v>155</v>
      </c>
      <c r="F2" s="35">
        <v>630.79999999999995</v>
      </c>
      <c r="G2" s="35"/>
      <c r="H2" s="38">
        <v>0.1</v>
      </c>
      <c r="I2" s="44">
        <f>F2*H2</f>
        <v>63.08</v>
      </c>
      <c r="J2" s="35">
        <f>G2*H2</f>
        <v>0</v>
      </c>
      <c r="K2" s="39"/>
      <c r="L2" s="44">
        <f>J2-K2</f>
        <v>0</v>
      </c>
      <c r="M2" s="35" t="s">
        <v>147</v>
      </c>
      <c r="N2" s="39">
        <v>46386</v>
      </c>
    </row>
    <row r="3" spans="1:14" x14ac:dyDescent="0.2">
      <c r="A3" s="35">
        <v>7271</v>
      </c>
      <c r="B3" s="42" t="s">
        <v>162</v>
      </c>
      <c r="C3" s="45"/>
      <c r="D3" s="35" t="s">
        <v>11</v>
      </c>
      <c r="E3" s="35" t="s">
        <v>155</v>
      </c>
      <c r="F3" s="35">
        <v>1201.5</v>
      </c>
      <c r="G3" s="35"/>
      <c r="H3" s="38">
        <v>0.1</v>
      </c>
      <c r="I3" s="44">
        <f t="shared" ref="I3:I39" si="0">F3*H3</f>
        <v>120.15</v>
      </c>
      <c r="J3" s="35">
        <f t="shared" ref="J3:J39" si="1">G3*H3</f>
        <v>0</v>
      </c>
      <c r="K3" s="39"/>
      <c r="L3" s="44">
        <f t="shared" ref="L3:L39" si="2">J3-K3</f>
        <v>0</v>
      </c>
      <c r="M3" s="35" t="s">
        <v>148</v>
      </c>
      <c r="N3" s="39">
        <v>46052</v>
      </c>
    </row>
    <row r="4" spans="1:14" x14ac:dyDescent="0.2">
      <c r="A4" s="35">
        <v>7267</v>
      </c>
      <c r="B4" s="42" t="s">
        <v>163</v>
      </c>
      <c r="C4" s="45"/>
      <c r="D4" s="35" t="s">
        <v>11</v>
      </c>
      <c r="E4" s="35" t="s">
        <v>156</v>
      </c>
      <c r="F4" s="35">
        <v>934.5</v>
      </c>
      <c r="G4" s="35"/>
      <c r="H4" s="38">
        <v>0.1</v>
      </c>
      <c r="I4" s="44">
        <f t="shared" si="0"/>
        <v>93.45</v>
      </c>
      <c r="J4" s="35">
        <f t="shared" si="1"/>
        <v>0</v>
      </c>
      <c r="K4" s="39"/>
      <c r="L4" s="44">
        <f t="shared" si="2"/>
        <v>0</v>
      </c>
      <c r="M4" s="35"/>
      <c r="N4" s="39">
        <v>46052</v>
      </c>
    </row>
    <row r="5" spans="1:14" x14ac:dyDescent="0.2">
      <c r="A5" s="35">
        <v>7242</v>
      </c>
      <c r="B5" s="42" t="s">
        <v>164</v>
      </c>
      <c r="C5" s="45"/>
      <c r="D5" s="35" t="s">
        <v>11</v>
      </c>
      <c r="E5" s="35" t="s">
        <v>156</v>
      </c>
      <c r="F5" s="35">
        <v>1187.02</v>
      </c>
      <c r="G5" s="35"/>
      <c r="H5" s="38">
        <v>0.1</v>
      </c>
      <c r="I5" s="44">
        <f t="shared" si="0"/>
        <v>118.702</v>
      </c>
      <c r="J5" s="35">
        <f t="shared" si="1"/>
        <v>0</v>
      </c>
      <c r="K5" s="39"/>
      <c r="L5" s="44">
        <f t="shared" si="2"/>
        <v>0</v>
      </c>
      <c r="M5" s="35"/>
      <c r="N5" s="39">
        <v>46386</v>
      </c>
    </row>
    <row r="6" spans="1:14" x14ac:dyDescent="0.2">
      <c r="A6" s="35">
        <v>7239</v>
      </c>
      <c r="B6" s="42" t="s">
        <v>161</v>
      </c>
      <c r="C6" s="45"/>
      <c r="D6" s="35" t="s">
        <v>11</v>
      </c>
      <c r="E6" s="35" t="s">
        <v>157</v>
      </c>
      <c r="F6" s="35">
        <v>1595.52</v>
      </c>
      <c r="G6" s="35"/>
      <c r="H6" s="38">
        <v>0.1</v>
      </c>
      <c r="I6" s="44">
        <f t="shared" si="0"/>
        <v>159.55200000000002</v>
      </c>
      <c r="J6" s="35">
        <f t="shared" si="1"/>
        <v>0</v>
      </c>
      <c r="K6" s="39"/>
      <c r="L6" s="44">
        <f t="shared" si="2"/>
        <v>0</v>
      </c>
      <c r="M6" s="35" t="s">
        <v>149</v>
      </c>
      <c r="N6" s="39">
        <v>46052</v>
      </c>
    </row>
    <row r="7" spans="1:14" x14ac:dyDescent="0.2">
      <c r="A7" s="35">
        <v>7208</v>
      </c>
      <c r="B7" s="42" t="s">
        <v>162</v>
      </c>
      <c r="C7" s="45"/>
      <c r="D7" s="35" t="s">
        <v>11</v>
      </c>
      <c r="E7" s="35" t="s">
        <v>157</v>
      </c>
      <c r="F7" s="35">
        <v>295.47000000000003</v>
      </c>
      <c r="G7" s="35"/>
      <c r="H7" s="38">
        <v>0.1</v>
      </c>
      <c r="I7" s="44">
        <f t="shared" si="0"/>
        <v>29.547000000000004</v>
      </c>
      <c r="J7" s="35">
        <f t="shared" si="1"/>
        <v>0</v>
      </c>
      <c r="K7" s="39"/>
      <c r="L7" s="44">
        <f t="shared" si="2"/>
        <v>0</v>
      </c>
      <c r="M7" s="35" t="s">
        <v>150</v>
      </c>
      <c r="N7" s="39">
        <v>46386</v>
      </c>
    </row>
    <row r="8" spans="1:14" x14ac:dyDescent="0.2">
      <c r="A8" s="35"/>
      <c r="B8" s="46" t="s">
        <v>163</v>
      </c>
      <c r="C8" s="45"/>
      <c r="D8" s="35" t="s">
        <v>11</v>
      </c>
      <c r="E8" s="35" t="s">
        <v>155</v>
      </c>
      <c r="F8" s="35">
        <v>630.79999999999995</v>
      </c>
      <c r="G8" s="35"/>
      <c r="H8" s="38">
        <v>0.1</v>
      </c>
      <c r="I8" s="44">
        <f t="shared" si="0"/>
        <v>63.08</v>
      </c>
      <c r="J8" s="35">
        <f t="shared" si="1"/>
        <v>0</v>
      </c>
      <c r="K8" s="39"/>
      <c r="L8" s="44">
        <f t="shared" si="2"/>
        <v>0</v>
      </c>
      <c r="M8" s="35" t="s">
        <v>147</v>
      </c>
      <c r="N8" s="39">
        <v>46111</v>
      </c>
    </row>
    <row r="9" spans="1:14" x14ac:dyDescent="0.2">
      <c r="A9" s="35"/>
      <c r="B9" s="46" t="s">
        <v>164</v>
      </c>
      <c r="C9" s="45"/>
      <c r="D9" s="35" t="s">
        <v>11</v>
      </c>
      <c r="E9" s="35" t="s">
        <v>155</v>
      </c>
      <c r="F9" s="35">
        <v>1201.5</v>
      </c>
      <c r="G9" s="35"/>
      <c r="H9" s="38">
        <v>0.1</v>
      </c>
      <c r="I9" s="44">
        <f t="shared" si="0"/>
        <v>120.15</v>
      </c>
      <c r="J9" s="35">
        <f t="shared" si="1"/>
        <v>0</v>
      </c>
      <c r="K9" s="39"/>
      <c r="L9" s="44">
        <f t="shared" si="2"/>
        <v>0</v>
      </c>
      <c r="M9" s="35" t="s">
        <v>148</v>
      </c>
      <c r="N9" s="39">
        <v>46081</v>
      </c>
    </row>
    <row r="10" spans="1:14" x14ac:dyDescent="0.2">
      <c r="A10" s="35"/>
      <c r="B10" s="46" t="s">
        <v>163</v>
      </c>
      <c r="C10" s="45"/>
      <c r="D10" s="35" t="s">
        <v>11</v>
      </c>
      <c r="E10" s="35" t="s">
        <v>156</v>
      </c>
      <c r="F10" s="35">
        <v>934.5</v>
      </c>
      <c r="G10" s="35"/>
      <c r="H10" s="38">
        <v>0.1</v>
      </c>
      <c r="I10" s="44">
        <f t="shared" si="0"/>
        <v>93.45</v>
      </c>
      <c r="J10" s="35">
        <f t="shared" si="1"/>
        <v>0</v>
      </c>
      <c r="K10" s="39"/>
      <c r="L10" s="44">
        <f t="shared" si="2"/>
        <v>0</v>
      </c>
      <c r="M10" s="35"/>
      <c r="N10" s="39">
        <v>46081</v>
      </c>
    </row>
    <row r="11" spans="1:14" x14ac:dyDescent="0.2">
      <c r="A11" s="35"/>
      <c r="B11" s="46" t="s">
        <v>164</v>
      </c>
      <c r="C11" s="45"/>
      <c r="D11" s="35" t="s">
        <v>11</v>
      </c>
      <c r="E11" s="35" t="s">
        <v>156</v>
      </c>
      <c r="F11" s="35">
        <v>1187.02</v>
      </c>
      <c r="G11" s="35"/>
      <c r="H11" s="38">
        <v>0.1</v>
      </c>
      <c r="I11" s="44">
        <f t="shared" si="0"/>
        <v>118.702</v>
      </c>
      <c r="J11" s="35">
        <f t="shared" si="1"/>
        <v>0</v>
      </c>
      <c r="K11" s="39"/>
      <c r="L11" s="44">
        <f t="shared" si="2"/>
        <v>0</v>
      </c>
      <c r="M11" s="35"/>
      <c r="N11" s="39">
        <v>46111</v>
      </c>
    </row>
    <row r="12" spans="1:14" x14ac:dyDescent="0.2">
      <c r="A12" s="35"/>
      <c r="B12" s="46" t="s">
        <v>163</v>
      </c>
      <c r="C12" s="45"/>
      <c r="D12" s="35" t="s">
        <v>11</v>
      </c>
      <c r="E12" s="35" t="s">
        <v>157</v>
      </c>
      <c r="F12" s="35">
        <v>1595.52</v>
      </c>
      <c r="G12" s="35"/>
      <c r="H12" s="38">
        <v>0.1</v>
      </c>
      <c r="I12" s="44">
        <f t="shared" si="0"/>
        <v>159.55200000000002</v>
      </c>
      <c r="J12" s="35">
        <f t="shared" si="1"/>
        <v>0</v>
      </c>
      <c r="K12" s="39"/>
      <c r="L12" s="44">
        <f t="shared" si="2"/>
        <v>0</v>
      </c>
      <c r="M12" s="35" t="s">
        <v>149</v>
      </c>
      <c r="N12" s="39">
        <v>46081</v>
      </c>
    </row>
    <row r="13" spans="1:14" x14ac:dyDescent="0.2">
      <c r="A13" s="35"/>
      <c r="B13" s="46" t="s">
        <v>164</v>
      </c>
      <c r="C13" s="45"/>
      <c r="D13" s="35" t="s">
        <v>11</v>
      </c>
      <c r="E13" s="35" t="s">
        <v>157</v>
      </c>
      <c r="F13" s="35">
        <v>295.47000000000003</v>
      </c>
      <c r="G13" s="35"/>
      <c r="H13" s="38">
        <v>0.1</v>
      </c>
      <c r="I13" s="44">
        <f t="shared" si="0"/>
        <v>29.547000000000004</v>
      </c>
      <c r="J13" s="35">
        <f t="shared" si="1"/>
        <v>0</v>
      </c>
      <c r="K13" s="39"/>
      <c r="L13" s="44">
        <f t="shared" si="2"/>
        <v>0</v>
      </c>
      <c r="M13" s="35" t="s">
        <v>150</v>
      </c>
      <c r="N13" s="39">
        <v>46111</v>
      </c>
    </row>
    <row r="14" spans="1:14" x14ac:dyDescent="0.2">
      <c r="A14" s="35"/>
      <c r="B14" s="46" t="s">
        <v>161</v>
      </c>
      <c r="C14" s="45"/>
      <c r="D14" s="35" t="s">
        <v>11</v>
      </c>
      <c r="E14" s="35" t="s">
        <v>155</v>
      </c>
      <c r="F14" s="35">
        <v>630.79999999999995</v>
      </c>
      <c r="G14" s="35"/>
      <c r="H14" s="38">
        <v>0.1</v>
      </c>
      <c r="I14" s="44">
        <f t="shared" si="0"/>
        <v>63.08</v>
      </c>
      <c r="J14" s="35">
        <f t="shared" si="1"/>
        <v>0</v>
      </c>
      <c r="K14" s="39"/>
      <c r="L14" s="44">
        <f t="shared" si="2"/>
        <v>0</v>
      </c>
      <c r="M14" s="35" t="s">
        <v>147</v>
      </c>
      <c r="N14" s="39">
        <v>46142</v>
      </c>
    </row>
    <row r="15" spans="1:14" x14ac:dyDescent="0.2">
      <c r="A15" s="35"/>
      <c r="B15" s="46" t="s">
        <v>162</v>
      </c>
      <c r="C15" s="45"/>
      <c r="D15" s="35" t="s">
        <v>11</v>
      </c>
      <c r="E15" s="35" t="s">
        <v>155</v>
      </c>
      <c r="F15" s="35">
        <v>1201.5</v>
      </c>
      <c r="G15" s="35"/>
      <c r="H15" s="38">
        <v>0.1</v>
      </c>
      <c r="I15" s="44">
        <f t="shared" si="0"/>
        <v>120.15</v>
      </c>
      <c r="J15" s="35">
        <f t="shared" si="1"/>
        <v>0</v>
      </c>
      <c r="K15" s="39"/>
      <c r="L15" s="44">
        <f t="shared" si="2"/>
        <v>0</v>
      </c>
      <c r="M15" s="35" t="s">
        <v>148</v>
      </c>
      <c r="N15" s="39">
        <v>46172</v>
      </c>
    </row>
    <row r="16" spans="1:14" x14ac:dyDescent="0.2">
      <c r="A16" s="35"/>
      <c r="B16" s="46" t="s">
        <v>163</v>
      </c>
      <c r="C16" s="45"/>
      <c r="D16" s="35" t="s">
        <v>11</v>
      </c>
      <c r="E16" s="35" t="s">
        <v>156</v>
      </c>
      <c r="F16" s="35">
        <v>934.5</v>
      </c>
      <c r="G16" s="35"/>
      <c r="H16" s="38">
        <v>0.1</v>
      </c>
      <c r="I16" s="44">
        <f t="shared" si="0"/>
        <v>93.45</v>
      </c>
      <c r="J16" s="35">
        <f t="shared" si="1"/>
        <v>0</v>
      </c>
      <c r="K16" s="39"/>
      <c r="L16" s="44">
        <f t="shared" si="2"/>
        <v>0</v>
      </c>
      <c r="M16" s="35"/>
      <c r="N16" s="39">
        <v>46172</v>
      </c>
    </row>
    <row r="17" spans="1:14" x14ac:dyDescent="0.2">
      <c r="A17" s="35"/>
      <c r="B17" s="46" t="s">
        <v>164</v>
      </c>
      <c r="C17" s="45"/>
      <c r="D17" s="35" t="s">
        <v>11</v>
      </c>
      <c r="E17" s="35" t="s">
        <v>156</v>
      </c>
      <c r="F17" s="35">
        <v>1187.02</v>
      </c>
      <c r="G17" s="35"/>
      <c r="H17" s="38">
        <v>0.1</v>
      </c>
      <c r="I17" s="44">
        <f t="shared" si="0"/>
        <v>118.702</v>
      </c>
      <c r="J17" s="35">
        <f t="shared" si="1"/>
        <v>0</v>
      </c>
      <c r="K17" s="39"/>
      <c r="L17" s="44">
        <f t="shared" si="2"/>
        <v>0</v>
      </c>
      <c r="M17" s="35"/>
      <c r="N17" s="39">
        <v>46142</v>
      </c>
    </row>
    <row r="18" spans="1:14" x14ac:dyDescent="0.2">
      <c r="A18" s="35"/>
      <c r="B18" s="46" t="s">
        <v>161</v>
      </c>
      <c r="C18" s="45"/>
      <c r="D18" s="35" t="s">
        <v>11</v>
      </c>
      <c r="E18" s="35" t="s">
        <v>157</v>
      </c>
      <c r="F18" s="35">
        <v>1595.52</v>
      </c>
      <c r="G18" s="35"/>
      <c r="H18" s="38">
        <v>0.1</v>
      </c>
      <c r="I18" s="44">
        <f t="shared" si="0"/>
        <v>159.55200000000002</v>
      </c>
      <c r="J18" s="35">
        <f t="shared" si="1"/>
        <v>0</v>
      </c>
      <c r="K18" s="39"/>
      <c r="L18" s="44">
        <f t="shared" si="2"/>
        <v>0</v>
      </c>
      <c r="M18" s="35" t="s">
        <v>149</v>
      </c>
      <c r="N18" s="39">
        <v>46172</v>
      </c>
    </row>
    <row r="19" spans="1:14" x14ac:dyDescent="0.2">
      <c r="A19" s="35"/>
      <c r="B19" s="46" t="s">
        <v>162</v>
      </c>
      <c r="C19" s="45"/>
      <c r="D19" s="35" t="s">
        <v>11</v>
      </c>
      <c r="E19" s="35" t="s">
        <v>157</v>
      </c>
      <c r="F19" s="35">
        <v>295.47000000000003</v>
      </c>
      <c r="G19" s="35"/>
      <c r="H19" s="38">
        <v>0.1</v>
      </c>
      <c r="I19" s="44">
        <f t="shared" si="0"/>
        <v>29.547000000000004</v>
      </c>
      <c r="J19" s="35">
        <f t="shared" si="1"/>
        <v>0</v>
      </c>
      <c r="K19" s="39"/>
      <c r="L19" s="44">
        <f t="shared" si="2"/>
        <v>0</v>
      </c>
      <c r="M19" s="35" t="s">
        <v>150</v>
      </c>
      <c r="N19" s="39">
        <v>46142</v>
      </c>
    </row>
    <row r="20" spans="1:14" x14ac:dyDescent="0.2">
      <c r="A20" s="35"/>
      <c r="B20" s="46" t="s">
        <v>163</v>
      </c>
      <c r="C20" s="45"/>
      <c r="D20" s="35" t="s">
        <v>11</v>
      </c>
      <c r="E20" s="35" t="s">
        <v>155</v>
      </c>
      <c r="F20" s="35">
        <v>630.79999999999995</v>
      </c>
      <c r="G20" s="35"/>
      <c r="H20" s="38">
        <v>0.1</v>
      </c>
      <c r="I20" s="44">
        <f t="shared" si="0"/>
        <v>63.08</v>
      </c>
      <c r="J20" s="35">
        <f t="shared" si="1"/>
        <v>0</v>
      </c>
      <c r="K20" s="39"/>
      <c r="L20" s="44">
        <f t="shared" si="2"/>
        <v>0</v>
      </c>
      <c r="M20" s="35" t="s">
        <v>147</v>
      </c>
      <c r="N20" s="39">
        <v>46233</v>
      </c>
    </row>
    <row r="21" spans="1:14" x14ac:dyDescent="0.2">
      <c r="A21" s="35"/>
      <c r="B21" s="46" t="s">
        <v>164</v>
      </c>
      <c r="C21" s="45"/>
      <c r="D21" s="35" t="s">
        <v>11</v>
      </c>
      <c r="E21" s="35" t="s">
        <v>155</v>
      </c>
      <c r="F21" s="35">
        <v>1201.5</v>
      </c>
      <c r="G21" s="35"/>
      <c r="H21" s="38">
        <v>0.1</v>
      </c>
      <c r="I21" s="44">
        <f t="shared" si="0"/>
        <v>120.15</v>
      </c>
      <c r="J21" s="35">
        <f t="shared" si="1"/>
        <v>0</v>
      </c>
      <c r="K21" s="39"/>
      <c r="L21" s="44">
        <f t="shared" si="2"/>
        <v>0</v>
      </c>
      <c r="M21" s="35" t="s">
        <v>148</v>
      </c>
      <c r="N21" s="39">
        <v>46203</v>
      </c>
    </row>
    <row r="22" spans="1:14" x14ac:dyDescent="0.2">
      <c r="A22" s="35"/>
      <c r="B22" s="46" t="s">
        <v>163</v>
      </c>
      <c r="C22" s="45"/>
      <c r="D22" s="35" t="s">
        <v>11</v>
      </c>
      <c r="E22" s="35" t="s">
        <v>156</v>
      </c>
      <c r="F22" s="35">
        <v>934.5</v>
      </c>
      <c r="G22" s="35"/>
      <c r="H22" s="38">
        <v>0.1</v>
      </c>
      <c r="I22" s="44">
        <f t="shared" si="0"/>
        <v>93.45</v>
      </c>
      <c r="J22" s="35">
        <f t="shared" si="1"/>
        <v>0</v>
      </c>
      <c r="K22" s="39"/>
      <c r="L22" s="44">
        <f t="shared" si="2"/>
        <v>0</v>
      </c>
      <c r="M22" s="35"/>
      <c r="N22" s="39">
        <v>46203</v>
      </c>
    </row>
    <row r="23" spans="1:14" x14ac:dyDescent="0.2">
      <c r="A23" s="35"/>
      <c r="B23" s="46" t="s">
        <v>164</v>
      </c>
      <c r="C23" s="45"/>
      <c r="D23" s="35" t="s">
        <v>11</v>
      </c>
      <c r="E23" s="35" t="s">
        <v>156</v>
      </c>
      <c r="F23" s="35">
        <v>1187.02</v>
      </c>
      <c r="G23" s="35"/>
      <c r="H23" s="38">
        <v>0.1</v>
      </c>
      <c r="I23" s="44">
        <f t="shared" si="0"/>
        <v>118.702</v>
      </c>
      <c r="J23" s="35">
        <f t="shared" si="1"/>
        <v>0</v>
      </c>
      <c r="K23" s="39"/>
      <c r="L23" s="44">
        <f t="shared" si="2"/>
        <v>0</v>
      </c>
      <c r="M23" s="35"/>
      <c r="N23" s="39">
        <v>46233</v>
      </c>
    </row>
    <row r="24" spans="1:14" x14ac:dyDescent="0.2">
      <c r="A24" s="35"/>
      <c r="B24" s="46" t="s">
        <v>163</v>
      </c>
      <c r="C24" s="45"/>
      <c r="D24" s="35" t="s">
        <v>11</v>
      </c>
      <c r="E24" s="35" t="s">
        <v>157</v>
      </c>
      <c r="F24" s="35">
        <v>1595.52</v>
      </c>
      <c r="G24" s="35"/>
      <c r="H24" s="38">
        <v>0.1</v>
      </c>
      <c r="I24" s="44">
        <f t="shared" si="0"/>
        <v>159.55200000000002</v>
      </c>
      <c r="J24" s="35">
        <f t="shared" si="1"/>
        <v>0</v>
      </c>
      <c r="K24" s="39"/>
      <c r="L24" s="44">
        <f t="shared" si="2"/>
        <v>0</v>
      </c>
      <c r="M24" s="35" t="s">
        <v>149</v>
      </c>
      <c r="N24" s="39">
        <v>46203</v>
      </c>
    </row>
    <row r="25" spans="1:14" x14ac:dyDescent="0.2">
      <c r="A25" s="35"/>
      <c r="B25" s="46" t="s">
        <v>164</v>
      </c>
      <c r="C25" s="45"/>
      <c r="D25" s="35" t="s">
        <v>11</v>
      </c>
      <c r="E25" s="35" t="s">
        <v>157</v>
      </c>
      <c r="F25" s="35">
        <v>295.47000000000003</v>
      </c>
      <c r="G25" s="35"/>
      <c r="H25" s="38">
        <v>0.1</v>
      </c>
      <c r="I25" s="44">
        <f t="shared" si="0"/>
        <v>29.547000000000004</v>
      </c>
      <c r="J25" s="35">
        <f t="shared" si="1"/>
        <v>0</v>
      </c>
      <c r="K25" s="39"/>
      <c r="L25" s="44">
        <f t="shared" si="2"/>
        <v>0</v>
      </c>
      <c r="M25" s="35" t="s">
        <v>150</v>
      </c>
      <c r="N25" s="39">
        <v>46233</v>
      </c>
    </row>
    <row r="26" spans="1:14" x14ac:dyDescent="0.2">
      <c r="A26" s="35"/>
      <c r="B26" s="46" t="s">
        <v>161</v>
      </c>
      <c r="C26" s="45"/>
      <c r="D26" s="35" t="s">
        <v>11</v>
      </c>
      <c r="E26" s="35" t="s">
        <v>155</v>
      </c>
      <c r="F26" s="35">
        <v>630.79999999999995</v>
      </c>
      <c r="G26" s="35"/>
      <c r="H26" s="38">
        <v>0.1</v>
      </c>
      <c r="I26" s="44">
        <f t="shared" si="0"/>
        <v>63.08</v>
      </c>
      <c r="J26" s="35">
        <f t="shared" si="1"/>
        <v>0</v>
      </c>
      <c r="K26" s="39"/>
      <c r="L26" s="44">
        <f t="shared" si="2"/>
        <v>0</v>
      </c>
      <c r="M26" s="35" t="s">
        <v>147</v>
      </c>
      <c r="N26" s="39">
        <v>46111</v>
      </c>
    </row>
    <row r="27" spans="1:14" x14ac:dyDescent="0.2">
      <c r="A27" s="35"/>
      <c r="B27" s="46" t="s">
        <v>162</v>
      </c>
      <c r="C27" s="45"/>
      <c r="D27" s="35" t="s">
        <v>11</v>
      </c>
      <c r="E27" s="35" t="s">
        <v>155</v>
      </c>
      <c r="F27" s="35">
        <v>1201.5</v>
      </c>
      <c r="G27" s="35"/>
      <c r="H27" s="38">
        <v>0.1</v>
      </c>
      <c r="I27" s="44">
        <f t="shared" si="0"/>
        <v>120.15</v>
      </c>
      <c r="J27" s="35">
        <f t="shared" si="1"/>
        <v>0</v>
      </c>
      <c r="K27" s="39"/>
      <c r="L27" s="44">
        <f t="shared" si="2"/>
        <v>0</v>
      </c>
      <c r="M27" s="35" t="s">
        <v>148</v>
      </c>
      <c r="N27" s="39">
        <v>46295</v>
      </c>
    </row>
    <row r="28" spans="1:14" x14ac:dyDescent="0.2">
      <c r="A28" s="35"/>
      <c r="B28" s="46" t="s">
        <v>163</v>
      </c>
      <c r="C28" s="45"/>
      <c r="D28" s="35" t="s">
        <v>11</v>
      </c>
      <c r="E28" s="35" t="s">
        <v>156</v>
      </c>
      <c r="F28" s="35">
        <v>934.5</v>
      </c>
      <c r="G28" s="35"/>
      <c r="H28" s="38">
        <v>0.1</v>
      </c>
      <c r="I28" s="44">
        <f t="shared" si="0"/>
        <v>93.45</v>
      </c>
      <c r="J28" s="35">
        <f t="shared" si="1"/>
        <v>0</v>
      </c>
      <c r="K28" s="39"/>
      <c r="L28" s="44">
        <f t="shared" si="2"/>
        <v>0</v>
      </c>
      <c r="M28" s="35"/>
      <c r="N28" s="39">
        <v>46264</v>
      </c>
    </row>
    <row r="29" spans="1:14" x14ac:dyDescent="0.2">
      <c r="A29" s="35"/>
      <c r="B29" s="46" t="s">
        <v>164</v>
      </c>
      <c r="C29" s="45"/>
      <c r="D29" s="35" t="s">
        <v>11</v>
      </c>
      <c r="E29" s="35" t="s">
        <v>156</v>
      </c>
      <c r="F29" s="35">
        <v>1187.02</v>
      </c>
      <c r="G29" s="35"/>
      <c r="H29" s="38">
        <v>0.1</v>
      </c>
      <c r="I29" s="44">
        <f t="shared" si="0"/>
        <v>118.702</v>
      </c>
      <c r="J29" s="35">
        <f t="shared" si="1"/>
        <v>0</v>
      </c>
      <c r="K29" s="39"/>
      <c r="L29" s="44">
        <f t="shared" si="2"/>
        <v>0</v>
      </c>
      <c r="M29" s="35"/>
      <c r="N29" s="39">
        <v>46295</v>
      </c>
    </row>
    <row r="30" spans="1:14" x14ac:dyDescent="0.2">
      <c r="A30" s="35"/>
      <c r="B30" s="46" t="s">
        <v>161</v>
      </c>
      <c r="C30" s="45"/>
      <c r="D30" s="35" t="s">
        <v>11</v>
      </c>
      <c r="E30" s="35" t="s">
        <v>157</v>
      </c>
      <c r="F30" s="35">
        <v>1595.52</v>
      </c>
      <c r="G30" s="35"/>
      <c r="H30" s="38">
        <v>0.1</v>
      </c>
      <c r="I30" s="44">
        <f t="shared" si="0"/>
        <v>159.55200000000002</v>
      </c>
      <c r="J30" s="35">
        <f t="shared" si="1"/>
        <v>0</v>
      </c>
      <c r="K30" s="39"/>
      <c r="L30" s="44">
        <f t="shared" si="2"/>
        <v>0</v>
      </c>
      <c r="M30" s="35" t="s">
        <v>149</v>
      </c>
      <c r="N30" s="39">
        <v>46295</v>
      </c>
    </row>
    <row r="31" spans="1:14" x14ac:dyDescent="0.2">
      <c r="A31" s="35"/>
      <c r="B31" s="46" t="s">
        <v>162</v>
      </c>
      <c r="C31" s="45"/>
      <c r="D31" s="35" t="s">
        <v>11</v>
      </c>
      <c r="E31" s="35" t="s">
        <v>157</v>
      </c>
      <c r="F31" s="35">
        <v>295.47000000000003</v>
      </c>
      <c r="G31" s="35"/>
      <c r="H31" s="38">
        <v>0.1</v>
      </c>
      <c r="I31" s="44">
        <f t="shared" si="0"/>
        <v>29.547000000000004</v>
      </c>
      <c r="J31" s="35">
        <f t="shared" si="1"/>
        <v>0</v>
      </c>
      <c r="K31" s="39"/>
      <c r="L31" s="44">
        <f t="shared" si="2"/>
        <v>0</v>
      </c>
      <c r="M31" s="35" t="s">
        <v>150</v>
      </c>
      <c r="N31" s="39">
        <v>46264</v>
      </c>
    </row>
    <row r="32" spans="1:14" x14ac:dyDescent="0.2">
      <c r="A32" s="35"/>
      <c r="B32" s="46" t="s">
        <v>163</v>
      </c>
      <c r="C32" s="45"/>
      <c r="D32" s="35" t="s">
        <v>11</v>
      </c>
      <c r="E32" s="35" t="s">
        <v>155</v>
      </c>
      <c r="F32" s="35">
        <v>630.79999999999995</v>
      </c>
      <c r="G32" s="35"/>
      <c r="H32" s="38">
        <v>0.1</v>
      </c>
      <c r="I32" s="44">
        <f t="shared" si="0"/>
        <v>63.08</v>
      </c>
      <c r="J32" s="35">
        <f t="shared" si="1"/>
        <v>0</v>
      </c>
      <c r="K32" s="39"/>
      <c r="L32" s="44">
        <f t="shared" si="2"/>
        <v>0</v>
      </c>
      <c r="M32" s="35" t="s">
        <v>147</v>
      </c>
      <c r="N32" s="39">
        <v>46295</v>
      </c>
    </row>
    <row r="33" spans="1:14" x14ac:dyDescent="0.2">
      <c r="A33" s="35"/>
      <c r="B33" s="46" t="s">
        <v>164</v>
      </c>
      <c r="C33" s="45"/>
      <c r="D33" s="35" t="s">
        <v>11</v>
      </c>
      <c r="E33" s="35" t="s">
        <v>155</v>
      </c>
      <c r="F33" s="35">
        <v>1201.5</v>
      </c>
      <c r="G33" s="35"/>
      <c r="H33" s="38">
        <v>0.1</v>
      </c>
      <c r="I33" s="44">
        <f t="shared" si="0"/>
        <v>120.15</v>
      </c>
      <c r="J33" s="35">
        <f t="shared" si="1"/>
        <v>0</v>
      </c>
      <c r="K33" s="39"/>
      <c r="L33" s="44">
        <f t="shared" si="2"/>
        <v>0</v>
      </c>
      <c r="M33" s="35" t="s">
        <v>148</v>
      </c>
      <c r="N33" s="39">
        <v>46264</v>
      </c>
    </row>
    <row r="34" spans="1:14" x14ac:dyDescent="0.2">
      <c r="A34" s="35"/>
      <c r="B34" s="46" t="s">
        <v>163</v>
      </c>
      <c r="C34" s="45"/>
      <c r="D34" s="35" t="s">
        <v>11</v>
      </c>
      <c r="E34" s="35" t="s">
        <v>156</v>
      </c>
      <c r="F34" s="35">
        <v>934.5</v>
      </c>
      <c r="G34" s="35"/>
      <c r="H34" s="38">
        <v>0.1</v>
      </c>
      <c r="I34" s="44">
        <f t="shared" si="0"/>
        <v>93.45</v>
      </c>
      <c r="J34" s="35">
        <f t="shared" si="1"/>
        <v>0</v>
      </c>
      <c r="K34" s="39"/>
      <c r="L34" s="44">
        <f t="shared" si="2"/>
        <v>0</v>
      </c>
      <c r="M34" s="35"/>
      <c r="N34" s="39">
        <v>46356</v>
      </c>
    </row>
    <row r="35" spans="1:14" x14ac:dyDescent="0.2">
      <c r="A35" s="35"/>
      <c r="B35" s="46" t="s">
        <v>164</v>
      </c>
      <c r="C35" s="45"/>
      <c r="D35" s="35" t="s">
        <v>11</v>
      </c>
      <c r="E35" s="35" t="s">
        <v>156</v>
      </c>
      <c r="F35" s="35">
        <v>1187.02</v>
      </c>
      <c r="G35" s="35"/>
      <c r="H35" s="38">
        <v>0.1</v>
      </c>
      <c r="I35" s="44">
        <f t="shared" si="0"/>
        <v>118.702</v>
      </c>
      <c r="J35" s="35">
        <f t="shared" si="1"/>
        <v>0</v>
      </c>
      <c r="K35" s="39"/>
      <c r="L35" s="44">
        <f t="shared" si="2"/>
        <v>0</v>
      </c>
      <c r="M35" s="35"/>
      <c r="N35" s="39">
        <v>46325</v>
      </c>
    </row>
    <row r="36" spans="1:14" x14ac:dyDescent="0.2">
      <c r="A36" s="35"/>
      <c r="B36" s="46" t="s">
        <v>163</v>
      </c>
      <c r="C36" s="45"/>
      <c r="D36" s="35" t="s">
        <v>11</v>
      </c>
      <c r="E36" s="35" t="s">
        <v>157</v>
      </c>
      <c r="F36" s="35">
        <v>1595.52</v>
      </c>
      <c r="G36" s="35"/>
      <c r="H36" s="38">
        <v>0.1</v>
      </c>
      <c r="I36" s="44">
        <f t="shared" si="0"/>
        <v>159.55200000000002</v>
      </c>
      <c r="J36" s="35">
        <f t="shared" si="1"/>
        <v>0</v>
      </c>
      <c r="K36" s="39"/>
      <c r="L36" s="44">
        <f t="shared" si="2"/>
        <v>0</v>
      </c>
      <c r="M36" s="35" t="s">
        <v>149</v>
      </c>
      <c r="N36" s="39">
        <v>46325</v>
      </c>
    </row>
    <row r="37" spans="1:14" x14ac:dyDescent="0.2">
      <c r="A37" s="35"/>
      <c r="B37" s="46" t="s">
        <v>164</v>
      </c>
      <c r="C37" s="45"/>
      <c r="D37" s="35" t="s">
        <v>11</v>
      </c>
      <c r="E37" s="35" t="s">
        <v>157</v>
      </c>
      <c r="F37" s="35">
        <v>295.47000000000003</v>
      </c>
      <c r="G37" s="35"/>
      <c r="H37" s="38">
        <v>0.1</v>
      </c>
      <c r="I37" s="44">
        <f t="shared" si="0"/>
        <v>29.547000000000004</v>
      </c>
      <c r="J37" s="35">
        <f t="shared" si="1"/>
        <v>0</v>
      </c>
      <c r="K37" s="39"/>
      <c r="L37" s="44">
        <f t="shared" si="2"/>
        <v>0</v>
      </c>
      <c r="M37" s="35" t="s">
        <v>150</v>
      </c>
      <c r="N37" s="39">
        <v>46356</v>
      </c>
    </row>
    <row r="38" spans="1:14" x14ac:dyDescent="0.2">
      <c r="A38" s="35"/>
      <c r="B38" s="46" t="s">
        <v>163</v>
      </c>
      <c r="C38" s="45"/>
      <c r="D38" s="35" t="s">
        <v>11</v>
      </c>
      <c r="E38" s="35" t="s">
        <v>156</v>
      </c>
      <c r="F38" s="35">
        <v>934.5</v>
      </c>
      <c r="G38" s="35"/>
      <c r="H38" s="38">
        <v>0.1</v>
      </c>
      <c r="I38" s="44">
        <f t="shared" si="0"/>
        <v>93.45</v>
      </c>
      <c r="J38" s="35">
        <f t="shared" si="1"/>
        <v>0</v>
      </c>
      <c r="K38" s="39"/>
      <c r="L38" s="44">
        <f t="shared" si="2"/>
        <v>0</v>
      </c>
      <c r="M38" s="35"/>
      <c r="N38" s="39">
        <v>46325</v>
      </c>
    </row>
    <row r="39" spans="1:14" x14ac:dyDescent="0.2">
      <c r="A39" s="35"/>
      <c r="B39" s="46" t="s">
        <v>164</v>
      </c>
      <c r="C39" s="43"/>
      <c r="D39" s="35" t="s">
        <v>11</v>
      </c>
      <c r="E39" s="35" t="s">
        <v>156</v>
      </c>
      <c r="F39" s="35">
        <v>1187.02</v>
      </c>
      <c r="G39" s="35"/>
      <c r="H39" s="38">
        <v>0.1</v>
      </c>
      <c r="I39" s="44">
        <f t="shared" si="0"/>
        <v>118.702</v>
      </c>
      <c r="J39" s="35">
        <f t="shared" si="1"/>
        <v>0</v>
      </c>
      <c r="K39" s="39"/>
      <c r="L39" s="44">
        <f t="shared" si="2"/>
        <v>0</v>
      </c>
      <c r="M39" s="35"/>
      <c r="N39" s="39">
        <v>46356</v>
      </c>
    </row>
  </sheetData>
  <autoFilter ref="A1:N39" xr:uid="{0E1942B3-E5F3-4386-90D3-B488C208268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NF DE DEV EM ABERTO</vt:lpstr>
      <vt:lpstr>NF DE DEV PAGA</vt:lpstr>
      <vt:lpstr>CONTA CORRENTE</vt:lpstr>
      <vt:lpstr>'CONTA CORRENTE'!_FiltrarBancodeDados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Ornelas</dc:creator>
  <cp:lastModifiedBy>Marcelo Rodrigues</cp:lastModifiedBy>
  <dcterms:created xsi:type="dcterms:W3CDTF">2026-04-17T12:10:01Z</dcterms:created>
  <dcterms:modified xsi:type="dcterms:W3CDTF">2026-05-05T14:22:07Z</dcterms:modified>
</cp:coreProperties>
</file>