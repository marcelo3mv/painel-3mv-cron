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eu Drive\3MV\CRM 3MV\"/>
    </mc:Choice>
  </mc:AlternateContent>
  <xr:revisionPtr revIDLastSave="0" documentId="13_ncr:1_{0A25D42C-4484-47FB-9C83-45969854492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apa - Dashboard" sheetId="1" r:id="rId1"/>
    <sheet name="CRM Indústrias" sheetId="2" r:id="rId2"/>
    <sheet name="Base de Clientes" sheetId="3" r:id="rId3"/>
    <sheet name="Evolução Anual" sheetId="4" r:id="rId4"/>
    <sheet name="Contatos Adicionais" sheetId="5" r:id="rId5"/>
    <sheet name="_Listas" sheetId="6" state="hidden" r:id="rId6"/>
  </sheets>
  <definedNames>
    <definedName name="_xlnm._FilterDatabase" localSheetId="2" hidden="1">'Base de Clientes'!$A$1:$T$503</definedName>
    <definedName name="_xlnm._FilterDatabase" localSheetId="4" hidden="1">'Contatos Adicionais'!$A$1:$G$201</definedName>
    <definedName name="_xlnm._FilterDatabase" localSheetId="1" hidden="1">'CRM Indústrias'!$A$1:$AK$16</definedName>
    <definedName name="_xlnm._FilterDatabase" localSheetId="3" hidden="1">'Evolução Anual'!$A$1:$M$304</definedName>
    <definedName name="lst_Clientes">_Listas!$C$2:$C$481</definedName>
    <definedName name="lst_Industrias">_Listas!$B$2:$B$16</definedName>
    <definedName name="lst_Setores">_Listas!$A$2:$A$11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1" l="1"/>
  <c r="E54" i="1"/>
  <c r="B54" i="1"/>
  <c r="G49" i="1"/>
  <c r="B49" i="1"/>
  <c r="C46" i="1"/>
  <c r="C45" i="1"/>
  <c r="C44" i="1"/>
  <c r="C43" i="1"/>
  <c r="C42" i="1"/>
  <c r="C41" i="1"/>
  <c r="C40" i="1"/>
  <c r="C39" i="1"/>
  <c r="C38" i="1"/>
  <c r="C37" i="1"/>
  <c r="C36" i="1"/>
  <c r="C35" i="1"/>
  <c r="I33" i="1"/>
  <c r="E29" i="1"/>
  <c r="C29" i="1"/>
  <c r="H28" i="1"/>
  <c r="E28" i="1"/>
  <c r="C28" i="1"/>
  <c r="H27" i="1"/>
  <c r="E27" i="1"/>
  <c r="C27" i="1"/>
  <c r="H26" i="1"/>
  <c r="E26" i="1"/>
  <c r="C26" i="1"/>
  <c r="H25" i="1"/>
  <c r="E25" i="1"/>
  <c r="C25" i="1"/>
  <c r="H24" i="1"/>
  <c r="E24" i="1"/>
  <c r="C24" i="1"/>
  <c r="H23" i="1"/>
  <c r="E23" i="1"/>
  <c r="C23" i="1"/>
  <c r="H22" i="1"/>
  <c r="E22" i="1"/>
  <c r="C22" i="1"/>
  <c r="H21" i="1"/>
  <c r="E21" i="1"/>
  <c r="C21" i="1"/>
  <c r="H20" i="1"/>
  <c r="E20" i="1"/>
  <c r="C20" i="1"/>
  <c r="H19" i="1"/>
  <c r="E19" i="1"/>
  <c r="C19" i="1"/>
  <c r="I15" i="1"/>
</calcChain>
</file>

<file path=xl/sharedStrings.xml><?xml version="1.0" encoding="utf-8"?>
<sst xmlns="http://schemas.openxmlformats.org/spreadsheetml/2006/main" count="8581" uniqueCount="2575">
  <si>
    <t>CRM 3MV REPRESENTAÇÃO</t>
  </si>
  <si>
    <t>Base de Clientes &amp; Indústrias</t>
  </si>
  <si>
    <t>Atualizado via API Suas Vendas · Dados manuais preservados entre execuções</t>
  </si>
  <si>
    <t>502</t>
  </si>
  <si>
    <t>189</t>
  </si>
  <si>
    <t>15</t>
  </si>
  <si>
    <t>42</t>
  </si>
  <si>
    <t>Clientes na base</t>
  </si>
  <si>
    <t>Clientes ATIVOS</t>
  </si>
  <si>
    <t>Indústrias ATIVAS</t>
  </si>
  <si>
    <t>Grupos / redes</t>
  </si>
  <si>
    <t xml:space="preserve">  ◆  BUSCAR CONTATO DE INDÚSTRIA</t>
  </si>
  <si>
    <t>Indústria:</t>
  </si>
  <si>
    <t xml:space="preserve">  Contatos por setor da indústria escolhida:</t>
  </si>
  <si>
    <t>Setor</t>
  </si>
  <si>
    <t>Contato</t>
  </si>
  <si>
    <t>E-mail</t>
  </si>
  <si>
    <t>Telefone</t>
  </si>
  <si>
    <t>Financeiro</t>
  </si>
  <si>
    <t>Contas a Pagar</t>
  </si>
  <si>
    <t>Contas a Receber</t>
  </si>
  <si>
    <t>Marketing</t>
  </si>
  <si>
    <t>ADM</t>
  </si>
  <si>
    <t>Gerência</t>
  </si>
  <si>
    <t>Supervisão</t>
  </si>
  <si>
    <t>Trocas</t>
  </si>
  <si>
    <t>NFD</t>
  </si>
  <si>
    <t>Encarte</t>
  </si>
  <si>
    <t>Lead time / Obs</t>
  </si>
  <si>
    <t xml:space="preserve">  ◆  BUSCAR LOGÍSTICA DE CLIENTE</t>
  </si>
  <si>
    <t>Cliente:</t>
  </si>
  <si>
    <t>Grupo/Rede:</t>
  </si>
  <si>
    <t>Canal:</t>
  </si>
  <si>
    <t>Cidade:</t>
  </si>
  <si>
    <t>UF:</t>
  </si>
  <si>
    <t>Telefone ERP:</t>
  </si>
  <si>
    <t>Agendamento:</t>
  </si>
  <si>
    <t>Contato agend:</t>
  </si>
  <si>
    <t>E-mail agend:</t>
  </si>
  <si>
    <t>Tel. agend:</t>
  </si>
  <si>
    <t>Tel. logística:</t>
  </si>
  <si>
    <t>Resp. logística:</t>
  </si>
  <si>
    <t>Obs logística:</t>
  </si>
  <si>
    <t xml:space="preserve">  ◆  IR PARA</t>
  </si>
  <si>
    <t>Botões 🍎 (Mac) e 🪟 (Windows) puxam dados novos da API Suas Vendas. Tudo que você preencheu nas colunas amarelas é preservado entre atualizações.</t>
  </si>
  <si>
    <t>ID</t>
  </si>
  <si>
    <t>Indústria</t>
  </si>
  <si>
    <t>Razão Social</t>
  </si>
  <si>
    <t>CNPJ</t>
  </si>
  <si>
    <t>Status ERP</t>
  </si>
  <si>
    <t>Financeiro — contato</t>
  </si>
  <si>
    <t>Financeiro — e-mail</t>
  </si>
  <si>
    <t>Financeiro — telefone</t>
  </si>
  <si>
    <t>Contas a Pagar — contato</t>
  </si>
  <si>
    <t>Contas a Pagar — e-mail</t>
  </si>
  <si>
    <t>Contas a Pagar — telefone</t>
  </si>
  <si>
    <t>Contas a Receber — contato</t>
  </si>
  <si>
    <t>Contas a Receber — e-mail</t>
  </si>
  <si>
    <t>Contas a Receber — telefone</t>
  </si>
  <si>
    <t>Marketing — contato</t>
  </si>
  <si>
    <t>Marketing — e-mail</t>
  </si>
  <si>
    <t>Marketing — telefone</t>
  </si>
  <si>
    <t>ADM — contato</t>
  </si>
  <si>
    <t>ADM — e-mail</t>
  </si>
  <si>
    <t>ADM — telefone</t>
  </si>
  <si>
    <t>Gerência — contato</t>
  </si>
  <si>
    <t>Gerência — e-mail</t>
  </si>
  <si>
    <t>Gerência — telefone</t>
  </si>
  <si>
    <t>Supervisão — contato</t>
  </si>
  <si>
    <t>Supervisão — e-mail</t>
  </si>
  <si>
    <t>Supervisão — telefone</t>
  </si>
  <si>
    <t>Trocas — contato</t>
  </si>
  <si>
    <t>Trocas — e-mail</t>
  </si>
  <si>
    <t>Trocas — telefone</t>
  </si>
  <si>
    <t>NFD — contato</t>
  </si>
  <si>
    <t>NFD — e-mail</t>
  </si>
  <si>
    <t>NFD — telefone</t>
  </si>
  <si>
    <t>Encarte — contato</t>
  </si>
  <si>
    <t>Encarte — e-mail</t>
  </si>
  <si>
    <t>Encarte — telefone</t>
  </si>
  <si>
    <t>Lead time entrega (dias)</t>
  </si>
  <si>
    <t>Observações</t>
  </si>
  <si>
    <t>BR Spice</t>
  </si>
  <si>
    <t>BR SPICES INDUSTRIA E COMERCIO DE ALIMENTOS S.A.</t>
  </si>
  <si>
    <t>21.418.616/0001-57</t>
  </si>
  <si>
    <t>Ativo</t>
  </si>
  <si>
    <t>Casa Madeia</t>
  </si>
  <si>
    <t>ADEGA CASA DE MADEIRA LTDA</t>
  </si>
  <si>
    <t>94.904.133/0001-36</t>
  </si>
  <si>
    <t>Condor</t>
  </si>
  <si>
    <t>CONDOR S/A</t>
  </si>
  <si>
    <t>86.046.448/0001-61</t>
  </si>
  <si>
    <t>Dana</t>
  </si>
  <si>
    <t>PERFUMES DANA DO BRASIL S.A.</t>
  </si>
  <si>
    <t>61.105.722/0005-29</t>
  </si>
  <si>
    <t>Domno</t>
  </si>
  <si>
    <t>DOMNO DO BRASIL INDUSTRIA E COMERCIO DE BEBIDAS LTDA</t>
  </si>
  <si>
    <t>09.276.690/0001-80</t>
  </si>
  <si>
    <t>JACQUES JANINE</t>
  </si>
  <si>
    <t>BR COSMETIC COMERCIAL LTDA</t>
  </si>
  <si>
    <t>17.079.462/0001-49</t>
  </si>
  <si>
    <t>Kanitz</t>
  </si>
  <si>
    <t>CDA - DISTRIBUIDORA DE COSMETICOS LTDA.</t>
  </si>
  <si>
    <t>06.128.346/0001-56</t>
  </si>
  <si>
    <t>Leopoldina</t>
  </si>
  <si>
    <t>CERVEJARIA LEOPOLDINA LTDA</t>
  </si>
  <si>
    <t>22.226.696/0001-01</t>
  </si>
  <si>
    <t>M Dias</t>
  </si>
  <si>
    <t>M DIAS BRANCO S.A. INDUSTRIA E COMERCIO DE ALIMENTOS</t>
  </si>
  <si>
    <t>07.206.816/0042-93</t>
  </si>
  <si>
    <t>Melbras</t>
  </si>
  <si>
    <t>MELBRAS IMPORTADORA E EXPORTADORA AGROINDUSTRIA LTDA</t>
  </si>
  <si>
    <t>11.871.823/0001-09</t>
  </si>
  <si>
    <t>Ruby Rose</t>
  </si>
  <si>
    <t>UNION MEDIC COMERCIO E REPRESENTACAO DE PRODUTOS PARA A SAUDE LTDA</t>
  </si>
  <si>
    <t>45.143.429/0001-76</t>
  </si>
  <si>
    <t>Semina</t>
  </si>
  <si>
    <t>SEMINA IND COM LT</t>
  </si>
  <si>
    <t>55.163.042/0001-35</t>
  </si>
  <si>
    <t>Tia Sonia</t>
  </si>
  <si>
    <t>ALIMENTOS TIA SONIA LTDA</t>
  </si>
  <si>
    <t>08.385.685/0002-24</t>
  </si>
  <si>
    <t>Upper</t>
  </si>
  <si>
    <t>UPPER DOG COMERCIAL LTDA</t>
  </si>
  <si>
    <t>22.468.303/0005-08</t>
  </si>
  <si>
    <t>Valduga</t>
  </si>
  <si>
    <t>CASA VALDUGA VINHOS FINOS LTDA</t>
  </si>
  <si>
    <t>87.848.180/0001-44</t>
  </si>
  <si>
    <t>Nome fantasia</t>
  </si>
  <si>
    <t>Grupo/Rede</t>
  </si>
  <si>
    <t>Canal</t>
  </si>
  <si>
    <t>Razão social</t>
  </si>
  <si>
    <t>Cidade</t>
  </si>
  <si>
    <t>UF</t>
  </si>
  <si>
    <t>Pessoa</t>
  </si>
  <si>
    <t>Status</t>
  </si>
  <si>
    <t>Comprou 2023-26?</t>
  </si>
  <si>
    <t>Agendado entrega?</t>
  </si>
  <si>
    <t>Contato agendamento</t>
  </si>
  <si>
    <t>E-mail agendamento</t>
  </si>
  <si>
    <t>Tel. agendamento</t>
  </si>
  <si>
    <t>Tel. logística</t>
  </si>
  <si>
    <t>Resp. logística</t>
  </si>
  <si>
    <t>Obs logística</t>
  </si>
  <si>
    <t>.com açai</t>
  </si>
  <si>
    <t>—</t>
  </si>
  <si>
    <t>Açaí</t>
  </si>
  <si>
    <t>KEILA ALVES RAMALHO 12474483632</t>
  </si>
  <si>
    <t>37.745.450/0001-13</t>
  </si>
  <si>
    <t>Governador Valadares</t>
  </si>
  <si>
    <t>MG</t>
  </si>
  <si>
    <t>(33) 99148-1635</t>
  </si>
  <si>
    <t>keillinha_gv10@hotmail.com</t>
  </si>
  <si>
    <t>PJ</t>
  </si>
  <si>
    <t>Inativo</t>
  </si>
  <si>
    <t>3MV REPRESENTACOES</t>
  </si>
  <si>
    <t>Representações</t>
  </si>
  <si>
    <t>3MV REPRESENTACOES LTDA - ME</t>
  </si>
  <si>
    <t>26.424.501/0001-99</t>
  </si>
  <si>
    <t>IPATINGA</t>
  </si>
  <si>
    <t>31 3822 4687</t>
  </si>
  <si>
    <t>marcelo@3mvrepresentacao.com</t>
  </si>
  <si>
    <t>Sim</t>
  </si>
  <si>
    <t>A GRANEL</t>
  </si>
  <si>
    <t>LIGEIRO &amp; PIRES PRODUTOS NATURAIS LTDA</t>
  </si>
  <si>
    <t>26.822.115/0001-55</t>
  </si>
  <si>
    <t>(33) 3322-4000</t>
  </si>
  <si>
    <t>MEMCONTABILIDADE@GMAIL.COM</t>
  </si>
  <si>
    <t>ACAI &amp; CIA</t>
  </si>
  <si>
    <t>MGE ACAI E CIA LTDA</t>
  </si>
  <si>
    <t>23.913.733/0001-12</t>
  </si>
  <si>
    <t>GOVERNADOR VALADARES</t>
  </si>
  <si>
    <t>(33) 3021-1652</t>
  </si>
  <si>
    <t>gustavovazvillela@hotmail.com</t>
  </si>
  <si>
    <t>ACAI CAFE</t>
  </si>
  <si>
    <t>DEBORA DE JESUS OLIVEIRA 14037816644</t>
  </si>
  <si>
    <t>36.769.580/0001-23</t>
  </si>
  <si>
    <t>Coronel Fabriciano</t>
  </si>
  <si>
    <t>(31) 98585-6120</t>
  </si>
  <si>
    <t>richardson19@globo.com</t>
  </si>
  <si>
    <t>ACAI CULTURA</t>
  </si>
  <si>
    <t>MARIA COSTA SOARES FERRREIRA DE LIMA 30733090630</t>
  </si>
  <si>
    <t>29.865.404/0001-20</t>
  </si>
  <si>
    <t>Ipatinga</t>
  </si>
  <si>
    <t>(31) 3822-3117</t>
  </si>
  <si>
    <t>acaicultura@gmail.com</t>
  </si>
  <si>
    <t>ACAICULTURA ALIMENTOS LTDA</t>
  </si>
  <si>
    <t>33.269.510/0001-18</t>
  </si>
  <si>
    <t>31 99400 9797</t>
  </si>
  <si>
    <t>thiago.acaicultura@gmail.com</t>
  </si>
  <si>
    <t>ACAI DICASA</t>
  </si>
  <si>
    <t>FABIANO GONCALVES LIBOREIRO 06926987602</t>
  </si>
  <si>
    <t>38.043.185/0001-94</t>
  </si>
  <si>
    <t>(31) 9546-1035</t>
  </si>
  <si>
    <t>FABIANO.LIBOREIRO@YAHOO.COM</t>
  </si>
  <si>
    <t>ACAI DO ARITANA</t>
  </si>
  <si>
    <t>JOAO PAULO SILVA SALES 0218795606</t>
  </si>
  <si>
    <t>32.539.031/0001-01</t>
  </si>
  <si>
    <t>Governador Vala</t>
  </si>
  <si>
    <t>33 98712 7985</t>
  </si>
  <si>
    <t>joao191ja@gmail.com</t>
  </si>
  <si>
    <t>ACAI DO SIRLEI</t>
  </si>
  <si>
    <t>VITORIA FERNANDES SILVA 13021856675</t>
  </si>
  <si>
    <t>33.310.998/0001-80</t>
  </si>
  <si>
    <t>33 99971 5891</t>
  </si>
  <si>
    <t>mais_atacadista@hotmail.com</t>
  </si>
  <si>
    <t>ACAI DOS VALES</t>
  </si>
  <si>
    <t>NILDA SANTOS PEREIRA 09963832636</t>
  </si>
  <si>
    <t>33.956.901/0001-00</t>
  </si>
  <si>
    <t>33 98727 2889</t>
  </si>
  <si>
    <t>arturcastor@hotmail.com</t>
  </si>
  <si>
    <t>ACAI FRUIT SHOW COLATINA</t>
  </si>
  <si>
    <t>ACAI FRUIT SHOW COLATINA LTDA</t>
  </si>
  <si>
    <t>44.216.367/0001-12</t>
  </si>
  <si>
    <t>COLATINA</t>
  </si>
  <si>
    <t>ES</t>
  </si>
  <si>
    <t>(31) 9122-4771</t>
  </si>
  <si>
    <t>ANTONIELEBARBOSA1@GMAIL.COM</t>
  </si>
  <si>
    <t>ACAI FRUIT SHOW GV</t>
  </si>
  <si>
    <t>ACAI FRUIT SHOW GV LTDA</t>
  </si>
  <si>
    <t>31.140.821/0001-57</t>
  </si>
  <si>
    <t>GOVERNADOR VALA</t>
  </si>
  <si>
    <t>31 9122 4771</t>
  </si>
  <si>
    <t>antonielebarbosa1@gmail.com</t>
  </si>
  <si>
    <t>ACAI FRUIT SHOW IPATINGA</t>
  </si>
  <si>
    <t>ACAI FRUIT SHOW IPATINGA LTDA</t>
  </si>
  <si>
    <t>42.963.776/0001-57</t>
  </si>
  <si>
    <t>(31) 9389-0076</t>
  </si>
  <si>
    <t>NANTESGAS@HOTMAIL.COM</t>
  </si>
  <si>
    <t>ACAI FRUIT SHOW TEOFILO OTONI</t>
  </si>
  <si>
    <t>ACAI FRUIT SHOW TEOFILO OTONI EIRELI</t>
  </si>
  <si>
    <t>28.791.305/0001-88</t>
  </si>
  <si>
    <t>TEOFILO OTONI</t>
  </si>
  <si>
    <t>31 99122 4771</t>
  </si>
  <si>
    <t>acaishow@hotmail.com</t>
  </si>
  <si>
    <t>ACAI FRUIT SHOW TIMOTEO</t>
  </si>
  <si>
    <t>ACAI FRUIT SHOW TIMOTEO LTDA</t>
  </si>
  <si>
    <t>35.175.821/0001-43</t>
  </si>
  <si>
    <t>TIMOTEO</t>
  </si>
  <si>
    <t>ACAI FRUIT SHOW UBERLANDIA</t>
  </si>
  <si>
    <t>ACAI FRUIT SHOW UBERLANDIA II LTDA</t>
  </si>
  <si>
    <t>54.550.789/0001-83</t>
  </si>
  <si>
    <t>Uberlândia</t>
  </si>
  <si>
    <t>(31) 3826-7863</t>
  </si>
  <si>
    <t>afsuberlandia@gmail.com</t>
  </si>
  <si>
    <t>ACAI IPITANGA</t>
  </si>
  <si>
    <t>MORGANA NOVAES FIGEIREDO 0288128607</t>
  </si>
  <si>
    <t>34.092.180/0001-09</t>
  </si>
  <si>
    <t>31 98655 5655</t>
  </si>
  <si>
    <t>emporio293@hotmail.com; morganamuranga@hotmail.com</t>
  </si>
  <si>
    <t>ACAI MIX BRASIL</t>
  </si>
  <si>
    <t>KALLYL GUILHERME BRAGA MEDEIROS FERREIRA DOS SANTOS 11146548680</t>
  </si>
  <si>
    <t>33.183.442/0001-70</t>
  </si>
  <si>
    <t>33 98452 9699</t>
  </si>
  <si>
    <t>acaimixbrasil23@gmail.com</t>
  </si>
  <si>
    <t>ACAI NO KILO GOVERNADOR VALADARES</t>
  </si>
  <si>
    <t>EDUARLEY GIDEON AMORIM LOTT COMERCIO LTDA</t>
  </si>
  <si>
    <t>42.999.765/0001-27</t>
  </si>
  <si>
    <t>(31) 8585-7973</t>
  </si>
  <si>
    <t>EDUARLEYAMORIM@GMAIL.COM</t>
  </si>
  <si>
    <t>ACAI VIP</t>
  </si>
  <si>
    <t>CIBELLY MENDES CARDOSO 04165590690</t>
  </si>
  <si>
    <t>26.640.775/0001-15</t>
  </si>
  <si>
    <t>98846 7250</t>
  </si>
  <si>
    <t>cibellycardoso30@gmail.com</t>
  </si>
  <si>
    <t>ACAIDERA MIX</t>
  </si>
  <si>
    <t>MELYSSA STEFANNY DE SOUZA BRITO 10279540655</t>
  </si>
  <si>
    <t>17.285.793/0001-35</t>
  </si>
  <si>
    <t>33 3225 7679</t>
  </si>
  <si>
    <t>stefany0@gmail.com</t>
  </si>
  <si>
    <t>ALCATEIA HAMBURGUERI</t>
  </si>
  <si>
    <t>ALCATEIA HAMBURGUERIA LTDA</t>
  </si>
  <si>
    <t>31.734.255/0002-92</t>
  </si>
  <si>
    <t>31 99321 0828</t>
  </si>
  <si>
    <t>financeiro@alcateiahamburgueria.com.br</t>
  </si>
  <si>
    <t>Prospectado</t>
  </si>
  <si>
    <t>ALIMENTOS NOBRE</t>
  </si>
  <si>
    <t>ALIMENTOS NOBRE EIRELI ME</t>
  </si>
  <si>
    <t>26.427.437/0001-08</t>
  </si>
  <si>
    <t>31 3617 9393</t>
  </si>
  <si>
    <t>IPATINGA2@CHIQUINHO.COM.BR</t>
  </si>
  <si>
    <t>ALISSON DE BRITO LITTIG</t>
  </si>
  <si>
    <t>ALISSON DE BRITO LITTIG 12808716605</t>
  </si>
  <si>
    <t>47.993.772/0001-35</t>
  </si>
  <si>
    <t>(33) 9903-8198</t>
  </si>
  <si>
    <t>ALISSONDEBRITO@HOTMAIL.COM</t>
  </si>
  <si>
    <t>ALOE BAF</t>
  </si>
  <si>
    <t>Distribuidor</t>
  </si>
  <si>
    <t>ALOE BAF COMERCIO VAREJISTA E ATACADISTA DE COSMETICOS</t>
  </si>
  <si>
    <t>15.211.327/0001-80</t>
  </si>
  <si>
    <t>MONTES CLAROS</t>
  </si>
  <si>
    <t>38 3222 2815</t>
  </si>
  <si>
    <t>sergio.gomes@aloebaf.com.br;fiscal@aloebaf.com.br/ financeiro@aloebaf.com.br /  xmlaloebaf@hotmail.com</t>
  </si>
  <si>
    <t>ALVIM DISTRIBUIDORA</t>
  </si>
  <si>
    <t>PAULO SERGIO ALVIM 46992677691</t>
  </si>
  <si>
    <t>30.879.896/0001-91</t>
  </si>
  <si>
    <t>(97) 8701-6077</t>
  </si>
  <si>
    <t>PAULOSERALVIM@GMAIL.COM</t>
  </si>
  <si>
    <t>AMARETTO IPATINGA</t>
  </si>
  <si>
    <t>M E M FILHOS SORVETERIA E CAFETERIA EIRELI</t>
  </si>
  <si>
    <t>31.688.061/0001-17</t>
  </si>
  <si>
    <t>31 98869 8830</t>
  </si>
  <si>
    <t>mhmiranda@uol.com.br</t>
  </si>
  <si>
    <t>AMORIM SUPERMERCADO</t>
  </si>
  <si>
    <t>Supermercado</t>
  </si>
  <si>
    <t>JTB AMORIM SUPERMERCADOS EIRELI</t>
  </si>
  <si>
    <t>03.476.613/0001-98</t>
  </si>
  <si>
    <t>(33) 3533-1326</t>
  </si>
  <si>
    <t>AMORIMSUPERMERCADO@HOTMAIL.COM.BR</t>
  </si>
  <si>
    <t>ANDRADE DISTRIBUIDOR</t>
  </si>
  <si>
    <t>Andrade Distribuidora</t>
  </si>
  <si>
    <t>Atacarejo</t>
  </si>
  <si>
    <t>PADARIA E DISTRIBUIDORA CARAVELAS LTDA</t>
  </si>
  <si>
    <t>08.056.022/0002-66</t>
  </si>
  <si>
    <t>31 3825 7407</t>
  </si>
  <si>
    <t>distribuidora.andrade@hotmail.com</t>
  </si>
  <si>
    <t>ANDRADE DISTRIBUIDORA</t>
  </si>
  <si>
    <t>08.056.022/0001-85</t>
  </si>
  <si>
    <t>(31) 3822-6480</t>
  </si>
  <si>
    <t>RRMCONT@UOL.COM.BR</t>
  </si>
  <si>
    <t>ARAUJO E AMORIM</t>
  </si>
  <si>
    <t>ARAUJO E AMORIM LTDA</t>
  </si>
  <si>
    <t>23.625.927/0001-12</t>
  </si>
  <si>
    <t>CARATINGA</t>
  </si>
  <si>
    <t>33 99996 6906</t>
  </si>
  <si>
    <t>thatianeinaria@hotmail.com</t>
  </si>
  <si>
    <t>ARMAZEM A GRANEL</t>
  </si>
  <si>
    <t>HUMBERTO LUCAS BATISTA COSTA 01668515660</t>
  </si>
  <si>
    <t>33.322.542/0001-30</t>
  </si>
  <si>
    <t>31 2136 7475</t>
  </si>
  <si>
    <t>armazemgranel2020@gmail.com</t>
  </si>
  <si>
    <t>ARMAZEM DO ACAI</t>
  </si>
  <si>
    <t>K V SANTUZZI LANCHONETE</t>
  </si>
  <si>
    <t>29.558.496/0001-03</t>
  </si>
  <si>
    <t>33 98749 1638</t>
  </si>
  <si>
    <t>armazemdoacaigv@hotmail.com</t>
  </si>
  <si>
    <t>ARMAZEM FIT STORE</t>
  </si>
  <si>
    <t>NUTRIR COMERCIO DE ALIMENTOS EIRELI</t>
  </si>
  <si>
    <t>33.002.358/0001-02</t>
  </si>
  <si>
    <t>31 98603 1071</t>
  </si>
  <si>
    <t>ARMAZEM SAUDE EM GRA</t>
  </si>
  <si>
    <t>CLAUDIA DO CARMO ASSIS 04507372682</t>
  </si>
  <si>
    <t>35.094.535/0001-53</t>
  </si>
  <si>
    <t>31 99396 9906</t>
  </si>
  <si>
    <t>claudiaassis@yahoo.com.br</t>
  </si>
  <si>
    <t>ARTE LOCACOES</t>
  </si>
  <si>
    <t>Atacado</t>
  </si>
  <si>
    <t>ARTE LOCACOES E PROMOCOES LTDA ME</t>
  </si>
  <si>
    <t>26.261.453/0001-65</t>
  </si>
  <si>
    <t>31 3424 8000</t>
  </si>
  <si>
    <t>majellacosta@gmail.com</t>
  </si>
  <si>
    <t>ATACADO SANTA MARIA</t>
  </si>
  <si>
    <t>ATACADAO SANTA MARIA LTDA</t>
  </si>
  <si>
    <t>20.446.391/0001-80</t>
  </si>
  <si>
    <t>SANTA MARIA DE</t>
  </si>
  <si>
    <t>31 3838 1212</t>
  </si>
  <si>
    <t>nfe.atacadaosmi@gmail.com</t>
  </si>
  <si>
    <t>ATACADÃO S. FURTADO 02</t>
  </si>
  <si>
    <t>S. Furtado</t>
  </si>
  <si>
    <t>S FURTADO DA SILVA  E CIA LTDA</t>
  </si>
  <si>
    <t>41.793.050/0003-12</t>
  </si>
  <si>
    <t>IPANEMA</t>
  </si>
  <si>
    <t>33 3314 1566</t>
  </si>
  <si>
    <t>compras@atacadaosfurtado.com.br &lt;compras@atacadaosfurtado.com.br&gt;;</t>
  </si>
  <si>
    <t>ATACAFORTE</t>
  </si>
  <si>
    <t>Atacaforte</t>
  </si>
  <si>
    <t>IRMAOS SOARES LTDA</t>
  </si>
  <si>
    <t>20.604.518/0001-41</t>
  </si>
  <si>
    <t>33 3213 5400</t>
  </si>
  <si>
    <t>xmlvilaisa@atacaforte.com.br;xml@atacaforte.com.br</t>
  </si>
  <si>
    <t>ATACAFORTE LJ 02</t>
  </si>
  <si>
    <t>20.604.518/0006-56</t>
  </si>
  <si>
    <t>xml@atacaforte.com.br;xmlvilaisa@atacaforte.com.br</t>
  </si>
  <si>
    <t>ATACAFORTE LJ 03</t>
  </si>
  <si>
    <t>20.604.518/0007-37</t>
  </si>
  <si>
    <t>33 3275 1111</t>
  </si>
  <si>
    <t>xmlvilaisa@atacaforte.com.br</t>
  </si>
  <si>
    <t>ATACAFORTE LJ 1</t>
  </si>
  <si>
    <t>20.604.518/0002-22</t>
  </si>
  <si>
    <t>xml@atacaforte.com.br</t>
  </si>
  <si>
    <t>ATACAREJO SAO JOAO - ABRE CAMPO</t>
  </si>
  <si>
    <t>São João / Gardingo</t>
  </si>
  <si>
    <t>DISTRIBUIDORA IRMAOS GARDINGO IND. COMERCIO E TRANSPORTES LTDA</t>
  </si>
  <si>
    <t>18.861.682/0012-45</t>
  </si>
  <si>
    <t>Abre Campo</t>
  </si>
  <si>
    <t>(31) 8421-3403</t>
  </si>
  <si>
    <t>CONTABILIDADE@GARDINGO.COM.BR</t>
  </si>
  <si>
    <t>ATACAREJO SÃO JOAO</t>
  </si>
  <si>
    <t>DISTRIBUIDORA IRMAOS GARDINGO IND COMERCIO E TRANSPORTES LTDA</t>
  </si>
  <si>
    <t>18.861.682/0009-40</t>
  </si>
  <si>
    <t>MATIPO</t>
  </si>
  <si>
    <t>31 387 31407</t>
  </si>
  <si>
    <t>danfe@superirmao.com.br; nfe@gardingo.com.br;gardingo@gardingo.com.br</t>
  </si>
  <si>
    <t>ATENAS</t>
  </si>
  <si>
    <t>ATENAS DISTRIBUICAO INTELIGENTE LTDA</t>
  </si>
  <si>
    <t>31.130.627/0001-90</t>
  </si>
  <si>
    <t>CONTAGEM</t>
  </si>
  <si>
    <t>31 98805 6364</t>
  </si>
  <si>
    <t>logistica@atenasdistribuicao.com.br;jovem@atenasdistribuicao.com.br</t>
  </si>
  <si>
    <t>BAMBINO</t>
  </si>
  <si>
    <t>BAMBINO PRESENTES LTDA</t>
  </si>
  <si>
    <t>04.458.732/0001-80</t>
  </si>
  <si>
    <t>Manhuaçu</t>
  </si>
  <si>
    <t>(33) 3331-1033</t>
  </si>
  <si>
    <t>BFRANK@SOFT-HARD.COM.BR</t>
  </si>
  <si>
    <t>BARAO COSMETICOS</t>
  </si>
  <si>
    <t>BOTELHO &amp; DAMAZIO COSMETICOS LTDA</t>
  </si>
  <si>
    <t>47.350.738/0001-42</t>
  </si>
  <si>
    <t>Barão de Cocais</t>
  </si>
  <si>
    <t>(31) 9872-3923</t>
  </si>
  <si>
    <t>BEAUTY CENTER</t>
  </si>
  <si>
    <t>ISRAEL SANTOS ROCHA 08371370636</t>
  </si>
  <si>
    <t>45.421.814/0001-38</t>
  </si>
  <si>
    <t>Nanuque</t>
  </si>
  <si>
    <t>(33) 3621-4132</t>
  </si>
  <si>
    <t>PONTUALCONTABILIDADEMG@GMAIL.COM</t>
  </si>
  <si>
    <t>BELEZA &amp; CIA</t>
  </si>
  <si>
    <t>Perfumaria</t>
  </si>
  <si>
    <t>OSEAS OLIVEIRA SILVA &amp; CIA LTDA</t>
  </si>
  <si>
    <t>02.698.472/0001-95</t>
  </si>
  <si>
    <t>BELLA CASA</t>
  </si>
  <si>
    <t>Utilidade</t>
  </si>
  <si>
    <t>E. S. SANTOS UTILIDADES DOMESTICAS</t>
  </si>
  <si>
    <t>35.973.397/0001-82</t>
  </si>
  <si>
    <t>(33) 3321-3931</t>
  </si>
  <si>
    <t>MARCAGESTAOCONTABIL@GMAIL.COM</t>
  </si>
  <si>
    <t>Bella Mix Cosméticos</t>
  </si>
  <si>
    <t>VANIA MARIA FERREIRA COELHO</t>
  </si>
  <si>
    <t>40.830.151/0001-91</t>
  </si>
  <si>
    <t>(33) 9911-91704</t>
  </si>
  <si>
    <t>bellamixgv@hotmail.com</t>
  </si>
  <si>
    <t>BELLACENTER DISTRIBUIDORA</t>
  </si>
  <si>
    <t>DIBH - DISTRIBUIDORA BELEZA HIGIENE LTDA</t>
  </si>
  <si>
    <t>18.535.681/0001-58</t>
  </si>
  <si>
    <t>Uberaba</t>
  </si>
  <si>
    <t>(34) 9917-8815</t>
  </si>
  <si>
    <t>HERNANI@BELLACENTERDISTRIBUIDORA.COM.BR</t>
  </si>
  <si>
    <t>BENDITO AÇAI GV</t>
  </si>
  <si>
    <t>TATIANE DORNELAS DE SOUZA</t>
  </si>
  <si>
    <t>40.297.346/0001-18</t>
  </si>
  <si>
    <t>33 99126 8238</t>
  </si>
  <si>
    <t>BIG MAIS SUPERMERCAD</t>
  </si>
  <si>
    <t>Big Mais</t>
  </si>
  <si>
    <t>BIG MAIS SUPERMERCADOS LTDA</t>
  </si>
  <si>
    <t>07.263.762/0007-15</t>
  </si>
  <si>
    <t>33 3275 6192</t>
  </si>
  <si>
    <t>natasha@bigmais.com.br; fiscal@bigmais.com.br</t>
  </si>
  <si>
    <t>BIG MAIS SUPERMERCADO ALTINOPOLIS</t>
  </si>
  <si>
    <t>07.263.762/0005-53</t>
  </si>
  <si>
    <t>33 3278 7200</t>
  </si>
  <si>
    <t>fiscal@bigmais.com.br ; natasha@bigmais.com.br</t>
  </si>
  <si>
    <t>BIG MAIS SUPERMERCADO JARDIM PEROLA</t>
  </si>
  <si>
    <t>07.263.762/0001-20</t>
  </si>
  <si>
    <t>33 3273 8800</t>
  </si>
  <si>
    <t>BIG MAIS SUPERMERCADO LAGOA SANTA</t>
  </si>
  <si>
    <t>07.263.762/0004-72</t>
  </si>
  <si>
    <t>33 3278 0080</t>
  </si>
  <si>
    <t>BIG MAIS SUPERMERCADO SÃO PAULO</t>
  </si>
  <si>
    <t>07.263.762/0003-91</t>
  </si>
  <si>
    <t>33 3212 7550</t>
  </si>
  <si>
    <t>BIG MAIS SUPERMERCADO SÃO PEDRO</t>
  </si>
  <si>
    <t>07.263.762/0009-87</t>
  </si>
  <si>
    <t>33 3275-6192</t>
  </si>
  <si>
    <t>BIG PLUS SUPERMERCADO</t>
  </si>
  <si>
    <t>BIG PLUS SUPERMERCADO LTDA</t>
  </si>
  <si>
    <t>05.149.076/0001-05</t>
  </si>
  <si>
    <t>Timóteo</t>
  </si>
  <si>
    <t>(31) 3847-4145</t>
  </si>
  <si>
    <t>COELHOSUPERMERCADO@HOTMAIL.COM</t>
  </si>
  <si>
    <t>BIOFLORA JANAUBA</t>
  </si>
  <si>
    <t>FLAVIA COMERCIO DE VINHOS E PRODUTOS NATURAIS LTDA</t>
  </si>
  <si>
    <t>22.095.396/0001-30</t>
  </si>
  <si>
    <t>Janaúba</t>
  </si>
  <si>
    <t>(38) 3821-2692</t>
  </si>
  <si>
    <t>LEGALIZA@AUCCONCONTABILIDADE.CNT.BR</t>
  </si>
  <si>
    <t>BISCOITERIA DELICIAS</t>
  </si>
  <si>
    <t>BISCOITERIA DELICIAS DA VIDA LTDA</t>
  </si>
  <si>
    <t>38.013.250/0001-39</t>
  </si>
  <si>
    <t>31 98465 3656</t>
  </si>
  <si>
    <t>biscoiteria.deliciasdavida@gmail.com</t>
  </si>
  <si>
    <t>BRASIL SUPERMERCADOS CIDADE NOBRE</t>
  </si>
  <si>
    <t>Supermercado Brasil</t>
  </si>
  <si>
    <t>SUPERMERCADO DEGRAU LTDA</t>
  </si>
  <si>
    <t>02.912.729/0005-93</t>
  </si>
  <si>
    <t>31 3822 0471</t>
  </si>
  <si>
    <t>nfecidadenobre@brasilsupermercados.com.br</t>
  </si>
  <si>
    <t>BRASIL SUPERMERCADOS PANORAMA</t>
  </si>
  <si>
    <t>02.912.729/0006-74</t>
  </si>
  <si>
    <t>31 3845 4050</t>
  </si>
  <si>
    <t>nfe08@brasilsupermercados.com.br</t>
  </si>
  <si>
    <t>BRASIL SUPERMERCADOS TIMOTEO</t>
  </si>
  <si>
    <t>02.912.729/0004-02</t>
  </si>
  <si>
    <t>31 3849 6381</t>
  </si>
  <si>
    <t>nfedistrito@brasilsupermercados.com.br</t>
  </si>
  <si>
    <t>C BAESSA DISTRIBUIDORA</t>
  </si>
  <si>
    <t>14.409.584/0001-68</t>
  </si>
  <si>
    <t>SANTANA DO MANHUACU</t>
  </si>
  <si>
    <t>33 98838 0595</t>
  </si>
  <si>
    <t>ORTECONTE@ORTECONTE.COM.BR</t>
  </si>
  <si>
    <t>CABELO &amp; CIA CARATINGA</t>
  </si>
  <si>
    <t>COSMETICOS 2 IRMAOS LTDA</t>
  </si>
  <si>
    <t>10.500.745/0001-73</t>
  </si>
  <si>
    <t>Caratinga</t>
  </si>
  <si>
    <t>(73) 9975-1556</t>
  </si>
  <si>
    <t>VERTICEASSESSORIAEGESTAO@GMAIL.COM</t>
  </si>
  <si>
    <t>CABELO &amp; CIA PRODUTOS PARA CABELOS EIRELI</t>
  </si>
  <si>
    <t>01.715.434/0001-30</t>
  </si>
  <si>
    <t>33 3221 1238</t>
  </si>
  <si>
    <t>cabeloecia1108@gmail.com</t>
  </si>
  <si>
    <t>CABELO &amp; PELE</t>
  </si>
  <si>
    <t>CABELO &amp; PELE COSMETICOS LTDA</t>
  </si>
  <si>
    <t>05.900.771/0001-59</t>
  </si>
  <si>
    <t>33 3275 2519</t>
  </si>
  <si>
    <t>cabeloepelecosmeticos@hotmail.com</t>
  </si>
  <si>
    <t>CARAMEL ATACADISTA</t>
  </si>
  <si>
    <t>CARAMEL ATACADISTA LTDA - ME</t>
  </si>
  <si>
    <t>28.501.301/0001-18</t>
  </si>
  <si>
    <t>33 3321 6080</t>
  </si>
  <si>
    <t>compras@caramelatacadista.com.br</t>
  </si>
  <si>
    <t>CARNES &amp; CIA</t>
  </si>
  <si>
    <t>Mercearia</t>
  </si>
  <si>
    <t>CASA DE CARNES PEREIRA &amp; SILVA LTDA</t>
  </si>
  <si>
    <t>86.414.109/0001-90</t>
  </si>
  <si>
    <t>CASA ALADIM BA</t>
  </si>
  <si>
    <t>DCA DISTRIBUIDORA DE COSMETICOS LTDA</t>
  </si>
  <si>
    <t>31.912.909/0001-40</t>
  </si>
  <si>
    <t>Feira de Santana</t>
  </si>
  <si>
    <t>BA</t>
  </si>
  <si>
    <t>(33) 3529-3301</t>
  </si>
  <si>
    <t>financeiro@casaaladim.com.br;compras.2@casaaladim.com.br</t>
  </si>
  <si>
    <t>CASA ALADIM BETIM MG</t>
  </si>
  <si>
    <t>DAC DISTRIBUIDORA DE COSMETICOS LTDA</t>
  </si>
  <si>
    <t>45.454.137/0001-54</t>
  </si>
  <si>
    <t>Betim</t>
  </si>
  <si>
    <t>(31) 2510-5278</t>
  </si>
  <si>
    <t>CONTATO@MUTUUSCONTABILIDADE.COM.BR</t>
  </si>
  <si>
    <t>CASA ALADIM MG</t>
  </si>
  <si>
    <t>CASA ALADIM LTDA - MG</t>
  </si>
  <si>
    <t>25.113.317/0001-65</t>
  </si>
  <si>
    <t>TEÓFILO OTONI</t>
  </si>
  <si>
    <t>33 99132 8906</t>
  </si>
  <si>
    <t>CASA DA NATUREZA</t>
  </si>
  <si>
    <t>CASA DA NATUREZA LTDA - ME</t>
  </si>
  <si>
    <t>05.284.730/0001-85</t>
  </si>
  <si>
    <t>33 3221 0288</t>
  </si>
  <si>
    <t>casanatureza@hotmail.com</t>
  </si>
  <si>
    <t>CASA DO ACAI</t>
  </si>
  <si>
    <t>WAGNER THIAGO FERNANDES DE SOUZA 07335097622</t>
  </si>
  <si>
    <t>14.631.061/0001-61</t>
  </si>
  <si>
    <t>33 3276 3589</t>
  </si>
  <si>
    <t>wagnerthiago10@hotmail.com</t>
  </si>
  <si>
    <t>CASA DO BISCOITO</t>
  </si>
  <si>
    <t>COMERCIO DE DOCES MANHUACU LTDA</t>
  </si>
  <si>
    <t>45.485.038/0001-30</t>
  </si>
  <si>
    <t>(33) 3331-1115</t>
  </si>
  <si>
    <t>CONTATO.NIVERSOSIMAO@GMAIL.COM</t>
  </si>
  <si>
    <t>CASA DO BISCOITO DE CARATINGA</t>
  </si>
  <si>
    <t>COMERCIO DE DOCES CARATINGA LTDA</t>
  </si>
  <si>
    <t>18.828.290/0001-21</t>
  </si>
  <si>
    <t>(33) 98443-9181</t>
  </si>
  <si>
    <t>CASA DO CABELEIREIRO DE CARATINGA</t>
  </si>
  <si>
    <t>18.850.852 GENIDALVA DAVINA DE JESUS VIEIRA</t>
  </si>
  <si>
    <t>18.850.852/0001-33</t>
  </si>
  <si>
    <t>(33) 3322-2871</t>
  </si>
  <si>
    <t>GENIDALVADEJESUSVIEIRA@GMAIL.COM</t>
  </si>
  <si>
    <t>CASA DO CABELEREIRO</t>
  </si>
  <si>
    <t>COMERCIAL AMARAL EIRELI</t>
  </si>
  <si>
    <t>29.358.640/0001-50</t>
  </si>
  <si>
    <t>(31) 3822-4687</t>
  </si>
  <si>
    <t>DESCONCONTABILIDADE@HOTMAIL.COM</t>
  </si>
  <si>
    <t>CASA DOS COSMETICOS</t>
  </si>
  <si>
    <t>FEIRAO DOS COSMETICOS LTDA</t>
  </si>
  <si>
    <t>66.281.825/0001-30</t>
  </si>
  <si>
    <t>(33) 3021-2121</t>
  </si>
  <si>
    <t>WALTONSCONTABILIDADE@HOTMAIL.COM</t>
  </si>
  <si>
    <t>CASA PINHO</t>
  </si>
  <si>
    <t>CASA PINHO LTDA</t>
  </si>
  <si>
    <t>18.674.960/0001-00</t>
  </si>
  <si>
    <t>Sabinópolis</t>
  </si>
  <si>
    <t>CASTANHAS DO VALE</t>
  </si>
  <si>
    <t>MARCELO REZENDE QUEIROZ 81341423620</t>
  </si>
  <si>
    <t>32.061.347/0001-30</t>
  </si>
  <si>
    <t>33 3825 3383</t>
  </si>
  <si>
    <t>CASTANHASDOVALE@GMAIL.COM</t>
  </si>
  <si>
    <t>CD GARCIA JARDIM PANORAMA</t>
  </si>
  <si>
    <t>Garcia Supermercados</t>
  </si>
  <si>
    <t>SUPERACO ALIMENTOS LTDA</t>
  </si>
  <si>
    <t>08.335.717/0009-53</t>
  </si>
  <si>
    <t>(31) 3829-7350</t>
  </si>
  <si>
    <t>CONTABIL@GARCIASUPERMERCADOS.COM.BR</t>
  </si>
  <si>
    <t>CENTRAL SUPERMERCADOS</t>
  </si>
  <si>
    <t>CENTRAL SUPERMERCADOS EIRELI</t>
  </si>
  <si>
    <t>08.019.075/0001-26</t>
  </si>
  <si>
    <t>Conselheiro Pena</t>
  </si>
  <si>
    <t>CEVAROLI FILIAL</t>
  </si>
  <si>
    <t>Cevaroli / OPA</t>
  </si>
  <si>
    <t>CEVAROLI SUPERMERCADOS LTDA</t>
  </si>
  <si>
    <t>36.444.757/0003-83</t>
  </si>
  <si>
    <t>BELO HORIZONTE</t>
  </si>
  <si>
    <t>(31) 3651-2088</t>
  </si>
  <si>
    <t>MARCOS@CONSULFORTEBH.COM.BR</t>
  </si>
  <si>
    <t>CEVAROLI SUPERMERCAD</t>
  </si>
  <si>
    <t>36.444.757/0001-11</t>
  </si>
  <si>
    <t>Belo Horizonte</t>
  </si>
  <si>
    <t>(31) 3433-3070</t>
  </si>
  <si>
    <t>fiscal@supermercadosopa.com.br</t>
  </si>
  <si>
    <t>CHIQUINHO SORVETES</t>
  </si>
  <si>
    <t>MGK COMERCIO ALIMENTICIOS LTDA</t>
  </si>
  <si>
    <t>24.920.519/0001-56</t>
  </si>
  <si>
    <t>33 9885 07007</t>
  </si>
  <si>
    <t>governadorvaladares@chiquinho.com.br</t>
  </si>
  <si>
    <t>GRENCHEN E KELTERN COMERCIO ALIMENTICIO LTDA</t>
  </si>
  <si>
    <t>19.121.816/0001-00</t>
  </si>
  <si>
    <t>MELLO E MELLO COMERCIO ALIMENTICIOS LTDA</t>
  </si>
  <si>
    <t>16.781.332/0001-90</t>
  </si>
  <si>
    <t>Teofilo Otoni</t>
  </si>
  <si>
    <t>CHIQUINHO SORVETES CENTRO</t>
  </si>
  <si>
    <t>ALIMENTOS IPATINGA LTDA - ME</t>
  </si>
  <si>
    <t>19.615.271/0001-80</t>
  </si>
  <si>
    <t>31 99418 1634</t>
  </si>
  <si>
    <t>chiquinhoipatinga@gmail.com</t>
  </si>
  <si>
    <t>Fechou</t>
  </si>
  <si>
    <t>CHISTE SORVETES LTDA</t>
  </si>
  <si>
    <t>CHISTE SORVETES EIRELI - ME</t>
  </si>
  <si>
    <t>13.910.462/0001-98</t>
  </si>
  <si>
    <t>33 99931 2603</t>
  </si>
  <si>
    <t>VINICIUSCHISTE@HOTMAIL.COM</t>
  </si>
  <si>
    <t>CIA DO CHURRASCO</t>
  </si>
  <si>
    <t>Delicatese</t>
  </si>
  <si>
    <t>INACIO E SILVA COMERCIO DE ALIMENTOS EIRELI</t>
  </si>
  <si>
    <t>23.800.181/0001-36</t>
  </si>
  <si>
    <t>31 3617 8968</t>
  </si>
  <si>
    <t>nivaldodochurrasco@yahoo.com.br</t>
  </si>
  <si>
    <t>CIRURGICA DINIZ</t>
  </si>
  <si>
    <t>DINIZ DISTRIBUIDORA DE PRODUTOS HOSPITALARES E ODONTOLOGICOS LTDA</t>
  </si>
  <si>
    <t>12.092.335/0001-66</t>
  </si>
  <si>
    <t>(33) 3321-3595</t>
  </si>
  <si>
    <t>GENESECONTABIL@YAHOO.COM.BR</t>
  </si>
  <si>
    <t>CISCA DISTRIBUIDORA</t>
  </si>
  <si>
    <t>Distribuidor Açaí</t>
  </si>
  <si>
    <t>CISCA DISTRIBUIDORA LTDA ME</t>
  </si>
  <si>
    <t>20.604.732/0001-06</t>
  </si>
  <si>
    <t>33 3063 3022</t>
  </si>
  <si>
    <t>cisca.distribuidora@hotmail.com</t>
  </si>
  <si>
    <t>CLEAN RESOLVE</t>
  </si>
  <si>
    <t>CLEAN RESOLVE LTDA</t>
  </si>
  <si>
    <t>46.554.329/0001-03</t>
  </si>
  <si>
    <t>SANTA MARGARIDA</t>
  </si>
  <si>
    <t>(33) 8429-5412</t>
  </si>
  <si>
    <t>andrecarv85@gmail.com</t>
  </si>
  <si>
    <t>Cliente Teste - SV.FUNIL</t>
  </si>
  <si>
    <t>COELHO DINIZ LOJA 1</t>
  </si>
  <si>
    <t>Coelho Diniz</t>
  </si>
  <si>
    <t>SUPERMERCADO COELHO DINIZ EIRELI</t>
  </si>
  <si>
    <t>41.930.199/0001-34</t>
  </si>
  <si>
    <t>33 3279 6100</t>
  </si>
  <si>
    <t>nf01@coelhodiniz.com.br</t>
  </si>
  <si>
    <t>COELHO DINIZ LOJA 10</t>
  </si>
  <si>
    <t>41.930.199/0010-25</t>
  </si>
  <si>
    <t>33 3279 6652</t>
  </si>
  <si>
    <t>nf10@coelhodiniz.com.br</t>
  </si>
  <si>
    <t>COELHO DINIZ LOJA 11</t>
  </si>
  <si>
    <t>41.930.199/0011-06</t>
  </si>
  <si>
    <t>33 3213 4200</t>
  </si>
  <si>
    <t>nf11@coelhodiniz.com.br; portaria11@coelhodiniz.com.br</t>
  </si>
  <si>
    <t>COELHO DINIZ LOJA 12</t>
  </si>
  <si>
    <t>41.930.199/0012-97</t>
  </si>
  <si>
    <t>Coronel Fabrici</t>
  </si>
  <si>
    <t>33 3865 2600</t>
  </si>
  <si>
    <t>nf12@coelhodiniz.com.br</t>
  </si>
  <si>
    <t>COELHO DINIZ LOJA 13</t>
  </si>
  <si>
    <t>41.930.199/0013-78</t>
  </si>
  <si>
    <t>31 3828 2700</t>
  </si>
  <si>
    <t>nf13@coelhodiniz.com.br</t>
  </si>
  <si>
    <t>COELHO DINIZ LOJA 14</t>
  </si>
  <si>
    <t>41.930.199/0014-59</t>
  </si>
  <si>
    <t>33 3529 4150</t>
  </si>
  <si>
    <t>nf14@coelhodiniz.com.br</t>
  </si>
  <si>
    <t>COELHO DINIZ LOJA 15</t>
  </si>
  <si>
    <t>41.930.199/0015-30</t>
  </si>
  <si>
    <t>33 3213 5900</t>
  </si>
  <si>
    <t>nf15@coelhodiniz.com.br</t>
  </si>
  <si>
    <t>COELHO DINIZ LOJA 16</t>
  </si>
  <si>
    <t>41.930.199/0016-10</t>
  </si>
  <si>
    <t>33 3536 0400</t>
  </si>
  <si>
    <t>nf16@coelhodiniz.com.br</t>
  </si>
  <si>
    <t>COELHO DINIZ LOJA 17</t>
  </si>
  <si>
    <t>41.930.199/0017-00</t>
  </si>
  <si>
    <t>31 3828 2300</t>
  </si>
  <si>
    <t>nf17@coelhodiniz.com.br</t>
  </si>
  <si>
    <t>COELHO DINIZ LOJA 18</t>
  </si>
  <si>
    <t>41.930.199/0018-82</t>
  </si>
  <si>
    <t>33 3212 9450</t>
  </si>
  <si>
    <t>nf18@coelhodiniz.com.br</t>
  </si>
  <si>
    <t>COELHO DINIZ LOJA 19</t>
  </si>
  <si>
    <t>41.930.199/0019-63</t>
  </si>
  <si>
    <t>33 3322 7551</t>
  </si>
  <si>
    <t>portaria19@coelhodiniz.com.br</t>
  </si>
  <si>
    <t>COELHO DINIZ LOJA 2</t>
  </si>
  <si>
    <t>41.930.199/0002-15</t>
  </si>
  <si>
    <t>33 3279 6150</t>
  </si>
  <si>
    <t>nf02@coelhodiniz.com.br</t>
  </si>
  <si>
    <t>COELHO DINIZ LOJA 20</t>
  </si>
  <si>
    <t>41.930.199/0020-05</t>
  </si>
  <si>
    <t>Manhuacu</t>
  </si>
  <si>
    <t>33 3279 6103</t>
  </si>
  <si>
    <t>portaria20@coelhodiniz.com.br</t>
  </si>
  <si>
    <t>COELHO DINIZ LOJA 21</t>
  </si>
  <si>
    <t>41.930.199/0021-88</t>
  </si>
  <si>
    <t>33 3277 2550</t>
  </si>
  <si>
    <t>nf21@coelhodiniz.com.br; portaria21@coelhodiniz.com.br</t>
  </si>
  <si>
    <t>COELHO DINIZ LOJA 22</t>
  </si>
  <si>
    <t>41.930.199/0022-69</t>
  </si>
  <si>
    <t>nf22@coelhodiniz.com.br;portaria22@coelhodiniz.com.br</t>
  </si>
  <si>
    <t>COELHO DINIZ LOJA 3</t>
  </si>
  <si>
    <t>41.930.199/0003-04</t>
  </si>
  <si>
    <t>33 3279 6400</t>
  </si>
  <si>
    <t>nf03@coelhodiniz.com.br</t>
  </si>
  <si>
    <t>COELHO DINIZ LOJA 4</t>
  </si>
  <si>
    <t>41.930.199/0004-87</t>
  </si>
  <si>
    <t>33 3339 6200</t>
  </si>
  <si>
    <t>nf04@coelhodiniz.com.br</t>
  </si>
  <si>
    <t>COELHO DINIZ LOJA 5</t>
  </si>
  <si>
    <t>41.930.199/0005-68</t>
  </si>
  <si>
    <t>33 3279 6450</t>
  </si>
  <si>
    <t>nf05@coelhodiniz.com.br</t>
  </si>
  <si>
    <t>COELHO DINIZ LOJA 6</t>
  </si>
  <si>
    <t>41.930.199/0006-49</t>
  </si>
  <si>
    <t>33 3279 6600</t>
  </si>
  <si>
    <t>nf06@coelhodiniz.com.br</t>
  </si>
  <si>
    <t>COELHO DINIZ LOJA 7</t>
  </si>
  <si>
    <t>41.930.199/0007-20</t>
  </si>
  <si>
    <t>33 3329 6000</t>
  </si>
  <si>
    <t>nf07@coelhodiniz.com.br</t>
  </si>
  <si>
    <t>COELHO DINIZ LOJA 8</t>
  </si>
  <si>
    <t>41.930.199/0008-00</t>
  </si>
  <si>
    <t>33 3279 8089</t>
  </si>
  <si>
    <t>nf08@coelhodiniz.com.br</t>
  </si>
  <si>
    <t>COELHO DINIZ LOJA 9</t>
  </si>
  <si>
    <t>41.930.199/0009-91</t>
  </si>
  <si>
    <t>(33) 3279-5757</t>
  </si>
  <si>
    <t>ORTECGV@TERRA.COM.BR</t>
  </si>
  <si>
    <t>COFARMINAS</t>
  </si>
  <si>
    <t>Distribuidora Farma</t>
  </si>
  <si>
    <t>COFARMINAS COMERCIO DE PRODUTOS FARMACEUTICOS LTDA</t>
  </si>
  <si>
    <t>02.537.890/0001-09</t>
  </si>
  <si>
    <t>(33) 3277-9200</t>
  </si>
  <si>
    <t>GERENCIA@COFARMINAS.COM.BR</t>
  </si>
  <si>
    <t>COMERCIAL FRAGA</t>
  </si>
  <si>
    <t>COMERCIAL FRAGA LTDA</t>
  </si>
  <si>
    <t>71.216.113/0001-77</t>
  </si>
  <si>
    <t>JOAO MONLEVADE</t>
  </si>
  <si>
    <t>31 3852 5292</t>
  </si>
  <si>
    <t>COMERCIAL JOAO LUIZ FRIZZERA LTDA</t>
  </si>
  <si>
    <t>04.371.905/0001-29</t>
  </si>
  <si>
    <t>Aimorés</t>
  </si>
  <si>
    <t>COMERCIO &amp; INDUSTRIA DE SORVETES LOUBACH</t>
  </si>
  <si>
    <t>COMERCIO &amp; INDUSTRIA DE SORVETES LOUBACH LTDA</t>
  </si>
  <si>
    <t>09.029.595/0001-82</t>
  </si>
  <si>
    <t>(33) 3271-1995</t>
  </si>
  <si>
    <t>PONTUAL@CONTABILIDADEPONTUAL.COM.BR</t>
  </si>
  <si>
    <t>COMPRE CERTO SINHA</t>
  </si>
  <si>
    <t>SINHA FARMA EIRELI</t>
  </si>
  <si>
    <t>18.383.640/0001-93</t>
  </si>
  <si>
    <t>Uberlandia</t>
  </si>
  <si>
    <t>34 99242 0085</t>
  </si>
  <si>
    <t>sinhafarma@gmail.com</t>
  </si>
  <si>
    <t>CONSUL</t>
  </si>
  <si>
    <t>Consul Supermercados</t>
  </si>
  <si>
    <t>COOPERATIVA DE CONSUMO DOS EMPREGADOS DA USIMINAS LTDA</t>
  </si>
  <si>
    <t>19.860.683/0010-76</t>
  </si>
  <si>
    <t>(31) 3616-6485</t>
  </si>
  <si>
    <t>CONSUL@CONSULMG.COOP.BR</t>
  </si>
  <si>
    <t>CONSUL BOM RETIRO</t>
  </si>
  <si>
    <t>19.860.683/0018-23</t>
  </si>
  <si>
    <t>(31) 3824-5127</t>
  </si>
  <si>
    <t>CONSUL CIDADE NOVA</t>
  </si>
  <si>
    <t>19.860.683/0021-29</t>
  </si>
  <si>
    <t>Santana do Paraíso</t>
  </si>
  <si>
    <t>CONSUL HORTO</t>
  </si>
  <si>
    <t>19.860.683/0015-80</t>
  </si>
  <si>
    <t>CONSUL IGUAÇU</t>
  </si>
  <si>
    <t>19.860.683/0017-42</t>
  </si>
  <si>
    <t>CONSUL SUPERMERCADO QUITANDINHA</t>
  </si>
  <si>
    <t>19.860.683/0014-08</t>
  </si>
  <si>
    <t>Timoteo</t>
  </si>
  <si>
    <t>31 3849 2743</t>
  </si>
  <si>
    <t>nfe@consulmg.coop.br; Joelia.freitas@consulmg.coop.br</t>
  </si>
  <si>
    <t>CONSUL SUPERMERCADOS CARIRU</t>
  </si>
  <si>
    <t>19.860.683/0003-47</t>
  </si>
  <si>
    <t>31 3825 2467</t>
  </si>
  <si>
    <t>CONSUL SUPERMERCADOS IDEAL</t>
  </si>
  <si>
    <t>19.860.683/0006-90</t>
  </si>
  <si>
    <t>31 3824 3765</t>
  </si>
  <si>
    <t>CONSUL SUPERMERCADOS INDUSTRIAL</t>
  </si>
  <si>
    <t>19.860.683/0001-85</t>
  </si>
  <si>
    <t>31 3824 5121</t>
  </si>
  <si>
    <t>CONSUL SUPERMERCADOS TIMIRIM</t>
  </si>
  <si>
    <t>COOPERATIVA DE CONSUMO DOS EMPREGADOS DAS USIMINAS LTDA</t>
  </si>
  <si>
    <t>19.860.683/0012-38</t>
  </si>
  <si>
    <t>31 3824 5127</t>
  </si>
  <si>
    <t>CONSUL VENEZA</t>
  </si>
  <si>
    <t>19.860.683/0016-61</t>
  </si>
  <si>
    <t>CONTAINER DO ACAI</t>
  </si>
  <si>
    <t>DOIS L S GELATERIA LTDA</t>
  </si>
  <si>
    <t>37.236.111/0001-01</t>
  </si>
  <si>
    <t>(33) 3022-0021</t>
  </si>
  <si>
    <t>lulorentz@hotmail.com</t>
  </si>
  <si>
    <t>CORDEIRO ATACAREJO - AV ANTONIO ERNESTO CURVELO</t>
  </si>
  <si>
    <t>Cordeiro Supermercados</t>
  </si>
  <si>
    <t>COMERCIAL GALA LTDA</t>
  </si>
  <si>
    <t>42.985.218/0010-83</t>
  </si>
  <si>
    <t>Curvelo</t>
  </si>
  <si>
    <t>(38) 9735-7401</t>
  </si>
  <si>
    <t>MERCIA.AGUILAR@SUPERCORDEIRO.COM.BR</t>
  </si>
  <si>
    <t>CORDEIRO ATACAREJO - AV FLORIPES SALINAS</t>
  </si>
  <si>
    <t>42.985.218/0014-07</t>
  </si>
  <si>
    <t>Salinas</t>
  </si>
  <si>
    <t>CORDEIRO ATACAREJO - CAPELINHA</t>
  </si>
  <si>
    <t>42.985.218/0023-06</t>
  </si>
  <si>
    <t>Capelinha</t>
  </si>
  <si>
    <t>CORDEIRO ATACAREJO - ITAMARANDIBA</t>
  </si>
  <si>
    <t>42.985.218/0021-36</t>
  </si>
  <si>
    <t>Itamarandiba</t>
  </si>
  <si>
    <t>CORDEIRO ATACAREJO - JARDIM PALMEIRAS MONTES CLAROS</t>
  </si>
  <si>
    <t>42.985.218/0017-50</t>
  </si>
  <si>
    <t>Montes Claros</t>
  </si>
  <si>
    <t>CORDEIRO ATACAREJO - PEDRA GRANDE DIAMANTINA</t>
  </si>
  <si>
    <t>42.985.218/0019-11</t>
  </si>
  <si>
    <t>Diamantina</t>
  </si>
  <si>
    <t>CORDEIRO ATACAREJO - PLANALTO MONTES CLAROS</t>
  </si>
  <si>
    <t>42.985.218/0016-79</t>
  </si>
  <si>
    <t>CORDEIRO ATACAREJO - RUA DOS IPES ARAÇUAI</t>
  </si>
  <si>
    <t>42.985.218/0013-26</t>
  </si>
  <si>
    <t>Araçuaí</t>
  </si>
  <si>
    <t>CORDEIRO SUPERMERCADOS - AV JOAO ANTUNES DIAMANTINA</t>
  </si>
  <si>
    <t>42.985.218/0008-69</t>
  </si>
  <si>
    <t>CORDEIRO SUPERMERCADOS - BAIRRO RAQUEL SALINAS</t>
  </si>
  <si>
    <t>42.985.218/0022-17</t>
  </si>
  <si>
    <t>CORDEIRO SUPERMERCADOS - BOCAIUVA</t>
  </si>
  <si>
    <t>42.985.218/0018-30</t>
  </si>
  <si>
    <t>Bocaiúva</t>
  </si>
  <si>
    <t>CORDEIRO SUPERMERCADOS - CENTRO CURVELO</t>
  </si>
  <si>
    <t>42.985.218/0006-05</t>
  </si>
  <si>
    <t>CORDEIRO SUPERMERCADOS - DIAMANTINA</t>
  </si>
  <si>
    <t>42.985.218/0004-35</t>
  </si>
  <si>
    <t>GALA@JKNET.COM.BR</t>
  </si>
  <si>
    <t>CORDEIRO SUPERMERCADOS - JOAO XXIII MONTES CLAROS</t>
  </si>
  <si>
    <t>42.985.218/0009-40</t>
  </si>
  <si>
    <t>CORDEIRO SUPERMERCADOS - PIRAPORA</t>
  </si>
  <si>
    <t>42.985.218/0003-54</t>
  </si>
  <si>
    <t>Pirapora</t>
  </si>
  <si>
    <t>CORDEIRO SUPERMERCADOS - PRAÇA DIAMANTINA</t>
  </si>
  <si>
    <t>42.985.218/0001-92</t>
  </si>
  <si>
    <t>CORDEIRO SUPERMERCADOS - RUA ARGEMIRO PIRAPORA</t>
  </si>
  <si>
    <t>42.985.218/0005-16</t>
  </si>
  <si>
    <t>CORDEIRO SUPERMERCADOS - RUA JOSE ANTONIO ARAÇUAI</t>
  </si>
  <si>
    <t>42.985.218/0020-55</t>
  </si>
  <si>
    <t>CORDEIRO SUPERMERCADOS - TAIOBEIRAS</t>
  </si>
  <si>
    <t>42.985.218/0015-98</t>
  </si>
  <si>
    <t>Taiobeiras</t>
  </si>
  <si>
    <t>CORDEIRO SUPERMERCADOS CD</t>
  </si>
  <si>
    <t>42.985.218/0011-64</t>
  </si>
  <si>
    <t>CURVELO</t>
  </si>
  <si>
    <t>(31) 3821-0860</t>
  </si>
  <si>
    <t>COSMETICOS DE ITABIRA</t>
  </si>
  <si>
    <t>CASA DOS COSMETICOS DE ITABIRA LTDA</t>
  </si>
  <si>
    <t>05.799.581/0001-97</t>
  </si>
  <si>
    <t>Itabira</t>
  </si>
  <si>
    <t>31 3835 2972</t>
  </si>
  <si>
    <t>embeleze.financeiro@hotmail.com</t>
  </si>
  <si>
    <t>COSMETICOS DO VALE</t>
  </si>
  <si>
    <t>MARIA JOSE DE SOUZA TORRES 30573270600</t>
  </si>
  <si>
    <t>11.666.147/0001-31</t>
  </si>
  <si>
    <t>31 98618 3544</t>
  </si>
  <si>
    <t>cosmeticosdovale@gmail.com</t>
  </si>
  <si>
    <t>COSMETICOS E CIA</t>
  </si>
  <si>
    <t>COMERCIO DE COSMETICOS LAGE LTDA</t>
  </si>
  <si>
    <t>07.449.723/0001-11</t>
  </si>
  <si>
    <t>CORONEL FABRICIANO</t>
  </si>
  <si>
    <t>31 3841 1361</t>
  </si>
  <si>
    <t>cosmeticoslage@gmail.com</t>
  </si>
  <si>
    <t>COSMETICOS L S</t>
  </si>
  <si>
    <t>COSMETICOS GV LTDA</t>
  </si>
  <si>
    <t>65.312.837/0001-11</t>
  </si>
  <si>
    <t>33 3203 9076</t>
  </si>
  <si>
    <t>LUIZVAGNERF@YAHOO.COM.BR</t>
  </si>
  <si>
    <t>CRISANA COSMÉTICOS</t>
  </si>
  <si>
    <t>DISTRIBUIDORA DE COSMETICOS ITABIRANA EIRELI</t>
  </si>
  <si>
    <t>11.105.393/0001-14</t>
  </si>
  <si>
    <t>31 3831 7919</t>
  </si>
  <si>
    <t>distribuidoraitabiranadecosmeticos@hotmail.com</t>
  </si>
  <si>
    <t>CROLL</t>
  </si>
  <si>
    <t>CROLL DISTRIBUICAO DE PRODUTOS PARA BAZAR EIRELI</t>
  </si>
  <si>
    <t>04.794.583/0001-20</t>
  </si>
  <si>
    <t>31 3821 5990</t>
  </si>
  <si>
    <t>crollfiscal@yahoo.com.br</t>
  </si>
  <si>
    <t>DAILTON</t>
  </si>
  <si>
    <t>DAILTON MENDES CARDOSO 06579673605</t>
  </si>
  <si>
    <t>30.140.979/0001-64</t>
  </si>
  <si>
    <t>(33) 9883-5698</t>
  </si>
  <si>
    <t>DAS GRINGAS NA WEB</t>
  </si>
  <si>
    <t>ADIANE LELIS DIAS 12286284679</t>
  </si>
  <si>
    <t>43.412.173/0001-20</t>
  </si>
  <si>
    <t>Iapu</t>
  </si>
  <si>
    <t>(33) 8765-4438</t>
  </si>
  <si>
    <t>ELIASCONTABILIDADE@HOTMAIL.COM</t>
  </si>
  <si>
    <t>DCA CENTRO OESTE LTDA</t>
  </si>
  <si>
    <t>54.290.322/0001-41</t>
  </si>
  <si>
    <t>Aparecida de Goiânia</t>
  </si>
  <si>
    <t>GO</t>
  </si>
  <si>
    <t>CONTABIL@AGNCONSULTORIA.COM.BR</t>
  </si>
  <si>
    <t>DECK ACAI</t>
  </si>
  <si>
    <t>DECK ACAI E COMERCIO DE ALIMENTOS EIRELI</t>
  </si>
  <si>
    <t>31.262.243/0001-21</t>
  </si>
  <si>
    <t>33 98803 0161</t>
  </si>
  <si>
    <t>fiscal@ferraricontabilidadegv.com.br</t>
  </si>
  <si>
    <t>DELICIUS ES DISTRIBU</t>
  </si>
  <si>
    <t>DELICIUS ES DISTRIBUIDORA DE ALIMENTOS LTDA</t>
  </si>
  <si>
    <t>31.477.424/0001-75</t>
  </si>
  <si>
    <t>Cariacica</t>
  </si>
  <si>
    <t>27 99925 1864</t>
  </si>
  <si>
    <t>delicius.es@gmail.com</t>
  </si>
  <si>
    <t>DELICIUS SORVETES</t>
  </si>
  <si>
    <t>DELICIUS INDUSTRIA DE ALIMENTOS LTDA</t>
  </si>
  <si>
    <t>07.737.933/0001-05</t>
  </si>
  <si>
    <t>33 98811 9464</t>
  </si>
  <si>
    <t>financeiro@delicius.com.br</t>
  </si>
  <si>
    <t>DELIGELI CEL. FABRICIANO</t>
  </si>
  <si>
    <t>BRUNANDA SORVETES LTDA</t>
  </si>
  <si>
    <t>17.094.021/0001-16</t>
  </si>
  <si>
    <t>31 9 8675 1830</t>
  </si>
  <si>
    <t>deligelicoronelfabriciano@gmail.com</t>
  </si>
  <si>
    <t>DELIGELI SORVETERIA</t>
  </si>
  <si>
    <t>ROSADO CORREA SORVETERIA LTDA</t>
  </si>
  <si>
    <t>34.544.893/0001-58</t>
  </si>
  <si>
    <t>Joao Monlevade</t>
  </si>
  <si>
    <t>31 99457 1479</t>
  </si>
  <si>
    <t>deligelijmonlevade@gmail.com</t>
  </si>
  <si>
    <t>DELIGELI SORVETES</t>
  </si>
  <si>
    <t>VIANA CARVALHO SORVETERIA LTDA</t>
  </si>
  <si>
    <t>26.242.732/0001-81</t>
  </si>
  <si>
    <t>31 98675 1830</t>
  </si>
  <si>
    <t>deligelitimoteo@gmail.com</t>
  </si>
  <si>
    <t>DENERBRAND RODRIGUES DE SOUZA</t>
  </si>
  <si>
    <t>DENERBRAND RODRIGUES DE SOUZA 15541123623</t>
  </si>
  <si>
    <t>34.091.434/0001-66</t>
  </si>
  <si>
    <t>Santana do Manhuaçu</t>
  </si>
  <si>
    <t>(33) 8824-4981</t>
  </si>
  <si>
    <t>CONTABILIDADESANTANAMG@GMAIL.COM</t>
  </si>
  <si>
    <t>DESSERT ACAITERIA</t>
  </si>
  <si>
    <t>DESSERT ACAI E SORVETES LTDA</t>
  </si>
  <si>
    <t>33.651.127/0001-20</t>
  </si>
  <si>
    <t>31 99867 3028</t>
  </si>
  <si>
    <t>dessertacaiteria@gmail.com</t>
  </si>
  <si>
    <t>DIBISA ATACADO</t>
  </si>
  <si>
    <t>DIBISA ATACADO E VAREJO DE ALIMENTOS EIRELI</t>
  </si>
  <si>
    <t>65.297.285/0001-10</t>
  </si>
  <si>
    <t>31 3852 2223</t>
  </si>
  <si>
    <t>dibisacontabil@gmail.com</t>
  </si>
  <si>
    <t>DINIZ LJ 23</t>
  </si>
  <si>
    <t>SUPERMERCADO COELHO DINIZ LTDA</t>
  </si>
  <si>
    <t>41.930.199/0023-40</t>
  </si>
  <si>
    <t>(33) 3279-6101</t>
  </si>
  <si>
    <t>DINIZ LOJA 24</t>
  </si>
  <si>
    <t>41.930.199/0024-20</t>
  </si>
  <si>
    <t>(33) 32796-1033</t>
  </si>
  <si>
    <t>DISENSA</t>
  </si>
  <si>
    <t>ATIVE CONSTRUCOES LTDA</t>
  </si>
  <si>
    <t>43.739.578/0001-77</t>
  </si>
  <si>
    <t>Belo Oriente</t>
  </si>
  <si>
    <t>(31) 9124-4619</t>
  </si>
  <si>
    <t>CLENILSONCONTABILIDADE@YAHOO.COM.BR</t>
  </si>
  <si>
    <t>DISFRUVEL</t>
  </si>
  <si>
    <t>DISFRUVEL COMERCIO DE ALIMENTOS LTDA</t>
  </si>
  <si>
    <t>10.896.550/0001-94</t>
  </si>
  <si>
    <t>(33) 3331-4266</t>
  </si>
  <si>
    <t>DISFRUVEL@GMAIL.COM</t>
  </si>
  <si>
    <t>DISTRI. GARDINGO</t>
  </si>
  <si>
    <t>DISTRIBUIDORA IRMAOS GARDINGO INDUSTRIA COMERCIO E TRANSPORTES LTDA</t>
  </si>
  <si>
    <t>18.861.682/0006-05</t>
  </si>
  <si>
    <t>31 3873 1400</t>
  </si>
  <si>
    <t>DISTRIBUIDORA DE COSMETICOS BARAO</t>
  </si>
  <si>
    <t>DISTRIBUIDORA DE COSMETICOS BARAO LTDA</t>
  </si>
  <si>
    <t>07.761.542/0001-26</t>
  </si>
  <si>
    <t>(31) 3831-4955</t>
  </si>
  <si>
    <t>embelezebarao@hotmail.com</t>
  </si>
  <si>
    <t>DISTRIBUIDORA DE DOCES VALADARES</t>
  </si>
  <si>
    <t>DISTRIBUIDORA DE DOCES VALADARES LTDA</t>
  </si>
  <si>
    <t>10.843.978/0001-79</t>
  </si>
  <si>
    <t>(33) 3277-6526</t>
  </si>
  <si>
    <t>DISTRIBUIDORAVALADARES@HOTMAIL.COM</t>
  </si>
  <si>
    <t>DISTRIBUIDORA ROCHA</t>
  </si>
  <si>
    <t>DISTRIBUIDORA DE DOCES E BALAS ROCHA LTDA</t>
  </si>
  <si>
    <t>10.685.157/0001-51</t>
  </si>
  <si>
    <t>Caeté</t>
  </si>
  <si>
    <t>(31) 3651-6423</t>
  </si>
  <si>
    <t>AVABRAS@UAI.COM.BR</t>
  </si>
  <si>
    <t>DISTRIBUIDORA SAO FRANCISCO</t>
  </si>
  <si>
    <t>ATACADO SAO FRANCISCO LTDA</t>
  </si>
  <si>
    <t>14.263.216/0001-54</t>
  </si>
  <si>
    <t>(33) 9128-9812</t>
  </si>
  <si>
    <t>ZIOTOCONTABILIDADE@GMAIL.COM</t>
  </si>
  <si>
    <t>DISTRIDAP</t>
  </si>
  <si>
    <t>DISTRIDAP - COMERCIO E DISTRIBUICAO DE PERFUMES LTDA</t>
  </si>
  <si>
    <t>04.817.336/0001-00</t>
  </si>
  <si>
    <t>33 9952 0267</t>
  </si>
  <si>
    <t>glauciadistridap@gmail.com</t>
  </si>
  <si>
    <t>DISTRILOG</t>
  </si>
  <si>
    <t>DISTRILOG LOGISTICA E DISTRIBUIDORA DE COSMETICOS LTDA</t>
  </si>
  <si>
    <t>33.699.963/0001-84</t>
  </si>
  <si>
    <t>SERRA</t>
  </si>
  <si>
    <t>27 3024 6001</t>
  </si>
  <si>
    <t>anaeliza@resendeesantos.com.br</t>
  </si>
  <si>
    <t>DMZ COSMETICOS</t>
  </si>
  <si>
    <t>DMZ COSMETICOS LTDA</t>
  </si>
  <si>
    <t>24.586.820/0001-75</t>
  </si>
  <si>
    <t>(31) 3245-2987</t>
  </si>
  <si>
    <t>DAMAZIO@DAMAZIO.COM.BR</t>
  </si>
  <si>
    <t>DOCTOR ICE</t>
  </si>
  <si>
    <t>LUCAS ANDRE FERREIRA ERNESTO 12877837670</t>
  </si>
  <si>
    <t>36.049.322/0001-72</t>
  </si>
  <si>
    <t>33 3025 4993</t>
  </si>
  <si>
    <t>pcernesto@hotmail.com</t>
  </si>
  <si>
    <t>DPC AL</t>
  </si>
  <si>
    <t>DPC</t>
  </si>
  <si>
    <t>DPC DISTRIBUIDOR ATACADISTA S/A</t>
  </si>
  <si>
    <t>66.471.517/0015-72</t>
  </si>
  <si>
    <t>Tabuleiro do Martins</t>
  </si>
  <si>
    <t>AL</t>
  </si>
  <si>
    <t>33 3329 0000</t>
  </si>
  <si>
    <t>XML@dpcnet.com.br</t>
  </si>
  <si>
    <t>DPC BA</t>
  </si>
  <si>
    <t>66.471.517/0009-24</t>
  </si>
  <si>
    <t>DPC ES</t>
  </si>
  <si>
    <t>66.471.517/0008-43</t>
  </si>
  <si>
    <t>VIANA</t>
  </si>
  <si>
    <t>DPC GO</t>
  </si>
  <si>
    <t>66.471.517/0020-30</t>
  </si>
  <si>
    <t>(33) 3329-0000</t>
  </si>
  <si>
    <t>CONTABIL@DPCNET.COM.BR</t>
  </si>
  <si>
    <t>DPC MG</t>
  </si>
  <si>
    <t>66.471.517/0001-77</t>
  </si>
  <si>
    <t>DPC PE</t>
  </si>
  <si>
    <t>66.471.517/0017-34</t>
  </si>
  <si>
    <t>Agamenom Magalhães</t>
  </si>
  <si>
    <t>PE</t>
  </si>
  <si>
    <t>DRIKA COSMETICOS</t>
  </si>
  <si>
    <t>MARIA ADRIANA DA SILVA MATOS 05968767693</t>
  </si>
  <si>
    <t>26.015.690/0001-46</t>
  </si>
  <si>
    <t>Virgolândia</t>
  </si>
  <si>
    <t>(33) 3295-1148</t>
  </si>
  <si>
    <t>MIRIAN@NEWVIEW.COM.BR</t>
  </si>
  <si>
    <t>DRL</t>
  </si>
  <si>
    <t>DRL DISTRIBUIDOR ATACADISTA LTDA</t>
  </si>
  <si>
    <t>28.011.064/0001-07</t>
  </si>
  <si>
    <t>Contagem</t>
  </si>
  <si>
    <t>31 3391 1708</t>
  </si>
  <si>
    <t>DROG PONTUAL IPATING</t>
  </si>
  <si>
    <t>Farmácia</t>
  </si>
  <si>
    <t>DROGARIA PONTUAL LTDA</t>
  </si>
  <si>
    <t>04.514.978/0001-22</t>
  </si>
  <si>
    <t>31 3826 8250</t>
  </si>
  <si>
    <t>pontualxml@yahoo.com.br</t>
  </si>
  <si>
    <t>DROGARIA PONTUAL IPATINGA LTDA</t>
  </si>
  <si>
    <t>17.132.521/0001-03</t>
  </si>
  <si>
    <t>DROGAFARMA ECONOMIA</t>
  </si>
  <si>
    <t>DROGARIA COSTA &amp; VIEIRA III LTDA</t>
  </si>
  <si>
    <t>07.501.739/0001-26</t>
  </si>
  <si>
    <t>Ponto dos Volantes</t>
  </si>
  <si>
    <t>33 3734 1105</t>
  </si>
  <si>
    <t>farmavolante@gmail.com</t>
  </si>
  <si>
    <t>DROGAGIL CONSELHEIRO PENA</t>
  </si>
  <si>
    <t>FERCAN COSMETICOS LTDA</t>
  </si>
  <si>
    <t>31.887.539/0001-38</t>
  </si>
  <si>
    <t>(33) 3261-2843</t>
  </si>
  <si>
    <t>fercandrogaria@gmail.com</t>
  </si>
  <si>
    <t>DROGAITA</t>
  </si>
  <si>
    <t>DROGAITA LTDA</t>
  </si>
  <si>
    <t>41.752.403/0001-74</t>
  </si>
  <si>
    <t>ITABIRA</t>
  </si>
  <si>
    <t>31 3834 1515</t>
  </si>
  <si>
    <t>drogaita@terra.com.br</t>
  </si>
  <si>
    <t>DROGARIA BARBOSA &amp; BENFICA - ALTO JEQUITIBA</t>
  </si>
  <si>
    <t>DROGARIA BARBOSA &amp; BENFICA LTDA</t>
  </si>
  <si>
    <t>05.169.568/0001-54</t>
  </si>
  <si>
    <t>Alto Jequitibá</t>
  </si>
  <si>
    <t>(33) 3343-1801</t>
  </si>
  <si>
    <t>DROGARIA HEBINHO</t>
  </si>
  <si>
    <t>DROGARIA E PERFUMARIA EBINHO LTDA</t>
  </si>
  <si>
    <t>05.388.292/0001-03</t>
  </si>
  <si>
    <t>31 3828 2121</t>
  </si>
  <si>
    <t>e-mail drogariahebinho@gmail.com</t>
  </si>
  <si>
    <t>DROGARIA LUISA</t>
  </si>
  <si>
    <t>DROGARIA PECANHA LTDA.</t>
  </si>
  <si>
    <t>15.718.286/0001-12</t>
  </si>
  <si>
    <t>Pingo-d'agua</t>
  </si>
  <si>
    <t>33 3353 6198</t>
  </si>
  <si>
    <t>farmaciaaraujo.mc@hotmail.com</t>
  </si>
  <si>
    <t>DROGARIA PONTUAL AMARO LANARI</t>
  </si>
  <si>
    <t>DROGARIA LIDER PONTUAL LTDA</t>
  </si>
  <si>
    <t>25.482.050/0001-83</t>
  </si>
  <si>
    <t>(31) 3821-2481</t>
  </si>
  <si>
    <t>liderpontual@hotmail.com</t>
  </si>
  <si>
    <t>DROGARIA PONTUAL CANAA LTDA</t>
  </si>
  <si>
    <t>17.445.329/0001-69</t>
  </si>
  <si>
    <t>(31) 3826-8250</t>
  </si>
  <si>
    <t>CLEITONR@VELOXMAIL.COM.BR</t>
  </si>
  <si>
    <t>DROGRARIA VENEZA</t>
  </si>
  <si>
    <t>DROGARIA VENEZA II LTDA ME</t>
  </si>
  <si>
    <t>64.299.191/0001-17</t>
  </si>
  <si>
    <t>31 98421 4523</t>
  </si>
  <si>
    <t>Veneza2@drogariaveneza.com.br</t>
  </si>
  <si>
    <t>DU LUCIO ACAITERIA E SORVETERIA - FILIAL</t>
  </si>
  <si>
    <t>IASMIN MOURA DE OLIVEIRA 13735775683</t>
  </si>
  <si>
    <t>47.011.841/0001-68</t>
  </si>
  <si>
    <t>Mantena</t>
  </si>
  <si>
    <t>(33) 9111-8191</t>
  </si>
  <si>
    <t>LUCIOFLAVIO11@YAHOO.COM.BR</t>
  </si>
  <si>
    <t>DU LUCIO FABRICACAO DE SORVETES E PICOLES</t>
  </si>
  <si>
    <t>LUCIO FLAVIO GONCALVES RIBEIRO 84044292604</t>
  </si>
  <si>
    <t>38.147.734/0001-70</t>
  </si>
  <si>
    <t>DUVALE FABRICIANO</t>
  </si>
  <si>
    <t>Duvale / Duvalle</t>
  </si>
  <si>
    <t>ORGANIZACOES JMF LTDA</t>
  </si>
  <si>
    <t>04.373.539/0001-47</t>
  </si>
  <si>
    <t>(31) 3842-2260</t>
  </si>
  <si>
    <t>duvale.nfe@gmail.com;duvale.financeiro@gmail.com</t>
  </si>
  <si>
    <t>DUVALE IPATINGA</t>
  </si>
  <si>
    <t>04.373.539/0003-09</t>
  </si>
  <si>
    <t>ANDERSONPANZA@BOL.COM.BR</t>
  </si>
  <si>
    <t>DUVALLE TIMOTEO</t>
  </si>
  <si>
    <t>04.373.539/0002-28</t>
  </si>
  <si>
    <t>TIMÓTEO</t>
  </si>
  <si>
    <t>(31) 3822-2281</t>
  </si>
  <si>
    <t>EBENEZER PIZZARIA E</t>
  </si>
  <si>
    <t>Pizzaria</t>
  </si>
  <si>
    <t>EBENEZER PIZZARIA E LANCHONETE LTDA</t>
  </si>
  <si>
    <t>10.209.137/0001-04</t>
  </si>
  <si>
    <t>33 3277 2100</t>
  </si>
  <si>
    <t>life_508@hotmail.com</t>
  </si>
  <si>
    <t>ECO DISTRIBUIDORA</t>
  </si>
  <si>
    <t>REGIONAL DISTRIBUIDORA LTDA</t>
  </si>
  <si>
    <t>47.074.395/0001-30</t>
  </si>
  <si>
    <t>João Monlevade</t>
  </si>
  <si>
    <t>(31) 3852-2424</t>
  </si>
  <si>
    <t>diretor@regionalecodistribuidora.com.br</t>
  </si>
  <si>
    <t>ECO VALE</t>
  </si>
  <si>
    <t>Utilidades</t>
  </si>
  <si>
    <t>ECOVALE PRODUTOS DE LIMPEZA EIRELI</t>
  </si>
  <si>
    <t>33.872.885/0001-78</t>
  </si>
  <si>
    <t>(31) 8818-6884</t>
  </si>
  <si>
    <t>IMPACTO.CONTA@UOL.COM.BR</t>
  </si>
  <si>
    <t>ECOLESTE DISTRIBUIDORA</t>
  </si>
  <si>
    <t>VPA SOTERO DISTRIBUICAO</t>
  </si>
  <si>
    <t>31.506.531/0001-84</t>
  </si>
  <si>
    <t>(31) 9632-4030</t>
  </si>
  <si>
    <t>VGPORCARO@GMAIL.COM</t>
  </si>
  <si>
    <t>ECOVILLE GOVERNADOR VALADARES</t>
  </si>
  <si>
    <t>WILLERSON SOARES CANDIDO</t>
  </si>
  <si>
    <t>27.588.785/0001-11</t>
  </si>
  <si>
    <t>(33) 9827-0050</t>
  </si>
  <si>
    <t>ECOVILLEVALADARES@GMAIL.COM</t>
  </si>
  <si>
    <t>EMA EMPRESA MINEIRA DE ALIMENTOS</t>
  </si>
  <si>
    <t>EMA EMPRESA MINEIRA DE ALIMENTOS LTDA</t>
  </si>
  <si>
    <t>26.905.882/0001-28</t>
  </si>
  <si>
    <t>Pedra Azul</t>
  </si>
  <si>
    <t>(33) 8874-4545</t>
  </si>
  <si>
    <t>JANSENATHOS@GMAIL.COM</t>
  </si>
  <si>
    <t>EMA7</t>
  </si>
  <si>
    <t>EMA7 EMPRESA MINEIRA ATACADISTA LTDA</t>
  </si>
  <si>
    <t>42.583.106/0001-05</t>
  </si>
  <si>
    <t>EMA7ONLINE@GMAIL.COM</t>
  </si>
  <si>
    <t>EMPORIO COSMETICOS</t>
  </si>
  <si>
    <t>FERNANDA SA CABRAL</t>
  </si>
  <si>
    <t>26.761.918/0001-47</t>
  </si>
  <si>
    <t>Conceição do Mato Dentro</t>
  </si>
  <si>
    <t>(31) 3868-1355</t>
  </si>
  <si>
    <t>EMPORIOCOSMETICOSCMD@YAHOO.COM</t>
  </si>
  <si>
    <t>EMPORIO MAIS VIDA</t>
  </si>
  <si>
    <t>Emporio / Mais</t>
  </si>
  <si>
    <t>PATRICIA APARECIDA CORREA 09320619662</t>
  </si>
  <si>
    <t>18.057.444/0001-29</t>
  </si>
  <si>
    <t>(31) 8654-0749</t>
  </si>
  <si>
    <t>LOJAMAISVIDA@GMAIL.COM</t>
  </si>
  <si>
    <t>18.057.444/0002-00</t>
  </si>
  <si>
    <t>31 3824 1775</t>
  </si>
  <si>
    <t>lojamaisvida@gmail.com</t>
  </si>
  <si>
    <t>ESCRITORIO PAO TOTAL</t>
  </si>
  <si>
    <t>Padaria</t>
  </si>
  <si>
    <t>ILHA PRODUTOS ALIMENTICIOS LTDA</t>
  </si>
  <si>
    <t>66.209.925/0001-55</t>
  </si>
  <si>
    <t>33 3275 1386</t>
  </si>
  <si>
    <t>ESPACO BELEZA</t>
  </si>
  <si>
    <t>ESPACO BELEZA COSMETICOS LTDA</t>
  </si>
  <si>
    <t>08.856.471/0001-08</t>
  </si>
  <si>
    <t>SANTA BÁRBARA</t>
  </si>
  <si>
    <t>(31) 3832-1276</t>
  </si>
  <si>
    <t>ORGXAVIER@YAHOO.COM.BR</t>
  </si>
  <si>
    <t>ESSENCIAL COSMÉTICOS</t>
  </si>
  <si>
    <t>COELHO DIAS DISTRIBUIDORA DE PRODUTOS DE BELEZA LTDA</t>
  </si>
  <si>
    <t>07.568.904/0001-67</t>
  </si>
  <si>
    <t>Guanhaes</t>
  </si>
  <si>
    <t>33 3421 5657</t>
  </si>
  <si>
    <t>essencialmarconi@gmail.com</t>
  </si>
  <si>
    <t>FAC / TIA TECA</t>
  </si>
  <si>
    <t>FAC ATACADISTA LTDA</t>
  </si>
  <si>
    <t>32.184.114/0001-25</t>
  </si>
  <si>
    <t>Teófilo Otoni</t>
  </si>
  <si>
    <t>(33) 3523-1543</t>
  </si>
  <si>
    <t>compras@cdfac.com.br</t>
  </si>
  <si>
    <t>FAMILIA PIRES</t>
  </si>
  <si>
    <t>Familia / Pires</t>
  </si>
  <si>
    <t>PADARIA FAMILIA PIRES LTDA</t>
  </si>
  <si>
    <t>13.524.258/0002-10</t>
  </si>
  <si>
    <t>Santa Maria de Itabira</t>
  </si>
  <si>
    <t>(31) 3835-8016</t>
  </si>
  <si>
    <t>AMANDA.SANTOS@FAMILIAPIRES.COM.BR</t>
  </si>
  <si>
    <t>13.524.258/0001-39</t>
  </si>
  <si>
    <t>cleidilene.eliziane@familiapires.com.br</t>
  </si>
  <si>
    <t>FARMACIA BARROS</t>
  </si>
  <si>
    <t>FARMÁCIA IANNARELLI LTDA</t>
  </si>
  <si>
    <t>38.465.522/0002-12</t>
  </si>
  <si>
    <t>31 3852 6005</t>
  </si>
  <si>
    <t>perfumaria.fcbarros@gmail.com;fcbarrosfilial1@gmail.com</t>
  </si>
  <si>
    <t>FARMACIA NATURALMENTE</t>
  </si>
  <si>
    <t>NATURAL/MENTE LTDA</t>
  </si>
  <si>
    <t>23.811.748/0001-70</t>
  </si>
  <si>
    <t>(31) 3824-5381</t>
  </si>
  <si>
    <t>FARMACIA SANTA ISABEL</t>
  </si>
  <si>
    <t>LWS NANUQUE EMPREENDIMENTO FARMACEUTICO LTDA</t>
  </si>
  <si>
    <t>35.692.453/0001-00</t>
  </si>
  <si>
    <t>(33) 3621-4354</t>
  </si>
  <si>
    <t>FSANTAISABEL86@GMAIL.COM</t>
  </si>
  <si>
    <t>FARMACIA TRES MARIAS</t>
  </si>
  <si>
    <t>PHARMACEUTICA L &amp; M LTDA</t>
  </si>
  <si>
    <t>04.011.171/0001-77</t>
  </si>
  <si>
    <t>RAUL SOARES</t>
  </si>
  <si>
    <t>(33) 3339-1000</t>
  </si>
  <si>
    <t>FELIPE</t>
  </si>
  <si>
    <t>M G A SUPERMERCADOS LTDA</t>
  </si>
  <si>
    <t>09.234.941/0001-64</t>
  </si>
  <si>
    <t>(31) 3831-2108</t>
  </si>
  <si>
    <t>MGASUPERMERCADO@HOTMAIL.COM</t>
  </si>
  <si>
    <t>FERNANDA SABRINA DA</t>
  </si>
  <si>
    <t>FERNANDA SABRINA DA SILVA LOPES 09949663695</t>
  </si>
  <si>
    <t>34.981.911/0001-69</t>
  </si>
  <si>
    <t>31 98832 6075</t>
  </si>
  <si>
    <t>cariocarazors@gmail.com</t>
  </si>
  <si>
    <t>FERNANDES ARAUJO PRO</t>
  </si>
  <si>
    <t>FERNANDES ARAUJO PRODUTOS ALIMENTICIOS EIRELI</t>
  </si>
  <si>
    <t>32.409.878/0001-71</t>
  </si>
  <si>
    <t>33 99995 1386</t>
  </si>
  <si>
    <t>paototalgoval@hotmail.com</t>
  </si>
  <si>
    <t>FESTEJAR EVENTOS MZ</t>
  </si>
  <si>
    <t>PALMA MARIA ROSADO DA ROCHA 80145159604</t>
  </si>
  <si>
    <t>39.153.841/0001-74</t>
  </si>
  <si>
    <t>Sao Domingos da</t>
  </si>
  <si>
    <t>33 3315 8331</t>
  </si>
  <si>
    <t>marciacristinarw@yahoo.com.br</t>
  </si>
  <si>
    <t>FILIAL NILSON DA SILVA</t>
  </si>
  <si>
    <t>COMERCIAL DOCURA LTDA</t>
  </si>
  <si>
    <t>56.974.872/0001-05</t>
  </si>
  <si>
    <t>(33) 3271-5358</t>
  </si>
  <si>
    <t>BRAGANCA1948@HOTMAIL.COM</t>
  </si>
  <si>
    <t>filial valmir</t>
  </si>
  <si>
    <t>MINIMERCADO MIREYA LTDA</t>
  </si>
  <si>
    <t>55.953.237/0001-89</t>
  </si>
  <si>
    <t>(33) 8890-8177</t>
  </si>
  <si>
    <t>PILOTO@UAI.COM.BR</t>
  </si>
  <si>
    <t>FRANCIS COSMETICOS E PERFUMARIA</t>
  </si>
  <si>
    <t>FRANCIS BEKEMBAUER VAZ &amp; CIA LTDA</t>
  </si>
  <si>
    <t>07.243.387/0001-56</t>
  </si>
  <si>
    <t>Muriaé</t>
  </si>
  <si>
    <t>(32) 3722-3425</t>
  </si>
  <si>
    <t>ASSESSORIAMURIAE@GMAIL.COM</t>
  </si>
  <si>
    <t>FRANCIS COSMETICOS E PERFUMARIA IPATINGA</t>
  </si>
  <si>
    <t>Francys / Francis</t>
  </si>
  <si>
    <t>MARELISS COMERCIO DE PRODUTOS DE BELEZA LTDA</t>
  </si>
  <si>
    <t>40.012.972/0001-10</t>
  </si>
  <si>
    <t>FRANCISBEL PERFUMARIA</t>
  </si>
  <si>
    <t>LUCAS ENEIAS GONCALVES</t>
  </si>
  <si>
    <t>18.883.606/0001-88</t>
  </si>
  <si>
    <t>(31) 99451-0573</t>
  </si>
  <si>
    <t>CONTABILIDADESOMAR@OUTLOOK.COM</t>
  </si>
  <si>
    <t>FRANCYS COSMETICOS SHOPPING DO VALE</t>
  </si>
  <si>
    <t>40.012.972/0002-00</t>
  </si>
  <si>
    <t>(32) 3728-4462</t>
  </si>
  <si>
    <t>FRANCISBEK@HOTMAIL.COM</t>
  </si>
  <si>
    <t>FRIGORIFICO PALADAR</t>
  </si>
  <si>
    <t>MATADOURO E FRIGORIFICO PALADAR LTDA</t>
  </si>
  <si>
    <t>03.221.799/0001-34</t>
  </si>
  <si>
    <t>Jaguaracu</t>
  </si>
  <si>
    <t>31 3845 2064</t>
  </si>
  <si>
    <t>fpaladar@fpaladar.com.br</t>
  </si>
  <si>
    <t>FRUIT SHOW COLATINA - INATIVO</t>
  </si>
  <si>
    <t>ACAI FRUIT SHOW INDUSTRIA E COMERCIO DE ALIMENTOS LTDA</t>
  </si>
  <si>
    <t>24.574.706/0010-16</t>
  </si>
  <si>
    <t>Colatina</t>
  </si>
  <si>
    <t>(75) 3021-3906</t>
  </si>
  <si>
    <t>atendimento@acaifruitshow.com.br</t>
  </si>
  <si>
    <t>FSA DISTRIBUICAO EIRELI</t>
  </si>
  <si>
    <t>F.S.A. DISTRIBUICAO EIRELI</t>
  </si>
  <si>
    <t>13.368.387/0001-85</t>
  </si>
  <si>
    <t>31 3823 0063</t>
  </si>
  <si>
    <t>FISCAL@FSADISTRIBUIDOR.COM.BR</t>
  </si>
  <si>
    <t>GARCIA CIDADE NOVA CD</t>
  </si>
  <si>
    <t>SUPERACO ALIMENTOS EIRELI</t>
  </si>
  <si>
    <t>08.335.717/0007-91</t>
  </si>
  <si>
    <t>GARCIA SUPERMERCADOS CANAA</t>
  </si>
  <si>
    <t>08.335.717/0001-04</t>
  </si>
  <si>
    <t>samuel@garciasupermercados.com.br;nfecanaa@garciasupermercados.com.br</t>
  </si>
  <si>
    <t>GARCIA SUPERMERCADOS CIDADE NOVA</t>
  </si>
  <si>
    <t>08.335.717/0008-72</t>
  </si>
  <si>
    <t>Santana do Paraiso</t>
  </si>
  <si>
    <t>31 3822 6630</t>
  </si>
  <si>
    <t>GARCIA SUPERMERCADOS ESPERANÇA</t>
  </si>
  <si>
    <t>08.335.717/0005-20</t>
  </si>
  <si>
    <t>31 3827 4840</t>
  </si>
  <si>
    <t>samuel@garciasupermercados.com.br;nfeorquidea@garciasupermercados.com.br</t>
  </si>
  <si>
    <t>GARCIA SUPERMERCADOS VENEZA</t>
  </si>
  <si>
    <t>08.335.717/0002-87</t>
  </si>
  <si>
    <t>31 3821 7038</t>
  </si>
  <si>
    <t>samuel@garciasupermercados.com.br;nfeveneza@garciasupermercados.com.br</t>
  </si>
  <si>
    <t>GELEE</t>
  </si>
  <si>
    <t>Geleia</t>
  </si>
  <si>
    <t>JUSIELLE MENDES SECUNDINO 09570325607</t>
  </si>
  <si>
    <t>38.081.951/0001-05</t>
  </si>
  <si>
    <t>(31) 8703-8456</t>
  </si>
  <si>
    <t>GELEIASGELEE@GMAIL.COM</t>
  </si>
  <si>
    <t>GLOBALMIX</t>
  </si>
  <si>
    <t>GLOBALMIX DISTRIBUIDORA DE MEDICAMENTOS E CORRELATOS LTDA</t>
  </si>
  <si>
    <t>07.790.854/0001-68</t>
  </si>
  <si>
    <t>(33) 3275-3508</t>
  </si>
  <si>
    <t>GLOBALMIXGV@GLOBALMIXGV.COM.BR</t>
  </si>
  <si>
    <t>GLOBO COSMETICOS ITABIRA</t>
  </si>
  <si>
    <t>COMERCIAL FONSECA FERNANDES LTDA</t>
  </si>
  <si>
    <t>03.317.561/0001-07</t>
  </si>
  <si>
    <t>(31) 3835-6100</t>
  </si>
  <si>
    <t>EMBELEZEITABIRA@HOTMAIL.COM</t>
  </si>
  <si>
    <t>GLOBO COSMETICOS JOAO MONLEVADE</t>
  </si>
  <si>
    <t>CASA DOS COSMETICOS MONLEVADE EIRELI</t>
  </si>
  <si>
    <t>27.342.895/0001-07</t>
  </si>
  <si>
    <t>JOÃO MONLEVADE</t>
  </si>
  <si>
    <t>(31) 3852-4353</t>
  </si>
  <si>
    <t>embelezemonlevade@hotmail.com</t>
  </si>
  <si>
    <t>GOVAL</t>
  </si>
  <si>
    <t>GOVAL EMBALAGENS LTDA</t>
  </si>
  <si>
    <t>08.390.019/0001-01</t>
  </si>
  <si>
    <t>(33) 3221-6531</t>
  </si>
  <si>
    <t>ATENDIMENTOGOVAL@YAHOO.COM</t>
  </si>
  <si>
    <t>GOVALPAN</t>
  </si>
  <si>
    <t>GOVALPAN COMERCIAL LTDA</t>
  </si>
  <si>
    <t>21.490.834/0005-26</t>
  </si>
  <si>
    <t>(33) 3271-8662</t>
  </si>
  <si>
    <t>FINANCEIROGOVALPAN@GMAIL.COM</t>
  </si>
  <si>
    <t>GRAMBEEF</t>
  </si>
  <si>
    <t>RODRIGO DE ASSIS HORTA 00252767608</t>
  </si>
  <si>
    <t>39.791.121/0001-34</t>
  </si>
  <si>
    <t>(31) 8807-5800</t>
  </si>
  <si>
    <t>RODRIGOAHORTA@YAHOO.COM.BR</t>
  </si>
  <si>
    <t>GRAOS DA TERRA</t>
  </si>
  <si>
    <t>CASA GRANEL PRODUTOS NATURAIS LTDA</t>
  </si>
  <si>
    <t>18.060.995/0001-41</t>
  </si>
  <si>
    <t>31 98850 5091</t>
  </si>
  <si>
    <t>graosdterra@gmail.com</t>
  </si>
  <si>
    <t>GRIGOLETTI LANCHES E</t>
  </si>
  <si>
    <t>Grigoletti / Lanches</t>
  </si>
  <si>
    <t>GRIGOLETTI LANCHES EIRELLI - ME</t>
  </si>
  <si>
    <t>03.343.885/0002-09</t>
  </si>
  <si>
    <t>33 3271 8923</t>
  </si>
  <si>
    <t>digitall@grupodigitall.com.br</t>
  </si>
  <si>
    <t>GUERRA E BRETAS</t>
  </si>
  <si>
    <t>SUPERMERCADOS GUERRA &amp; BRETAS LTDA</t>
  </si>
  <si>
    <t>04.522.177/0001-09</t>
  </si>
  <si>
    <t>SANTA MARIA DE ITABIRA</t>
  </si>
  <si>
    <t>GULA GULA</t>
  </si>
  <si>
    <t>ELIANE SOARES DA SILVA REIS</t>
  </si>
  <si>
    <t>11.599.681/0001-72</t>
  </si>
  <si>
    <t>(33) 3271-5985</t>
  </si>
  <si>
    <t>CONTABILIDADEJOAOGOMES@YAHOO.COM.BR</t>
  </si>
  <si>
    <t>GV EMBALAGEM</t>
  </si>
  <si>
    <t>CASA DA EMBALAGEM EIRELI</t>
  </si>
  <si>
    <t>37.751.014/0001-57</t>
  </si>
  <si>
    <t>33 4141 1246</t>
  </si>
  <si>
    <t>contap01@uai.com.br</t>
  </si>
  <si>
    <t>HAF</t>
  </si>
  <si>
    <t>HAF DISTRIBUIDOR EIRELI</t>
  </si>
  <si>
    <t>01.992.041/0001-74</t>
  </si>
  <si>
    <t>31 3279 5757</t>
  </si>
  <si>
    <t>HAMBURGUERIA FILADEL</t>
  </si>
  <si>
    <t>BHF COMERCIO DE ALIMENTOS LTDA</t>
  </si>
  <si>
    <t>24.240.614/0001-09</t>
  </si>
  <si>
    <t>33 3522 2359</t>
  </si>
  <si>
    <t>hamburgueriafiladelfia@gmail.com</t>
  </si>
  <si>
    <t>HELIO MOREIRA SUPERMERCADO</t>
  </si>
  <si>
    <t>MOREIRA MIRANDA SUPERMERCADO EIRELI</t>
  </si>
  <si>
    <t>09.431.920/0001-39</t>
  </si>
  <si>
    <t>Ipaba</t>
  </si>
  <si>
    <t>31 3320 1629</t>
  </si>
  <si>
    <t>moreiramirandasuper@hotmail.com</t>
  </si>
  <si>
    <t>HIPER ATACADISTA</t>
  </si>
  <si>
    <t>HIPER ATACADISTA LTDA</t>
  </si>
  <si>
    <t>28.349.225/0001-77</t>
  </si>
  <si>
    <t>(31) 3852-4411</t>
  </si>
  <si>
    <t>CONTABILIDADE@COMERCIALMONLEVADE.COM.BR</t>
  </si>
  <si>
    <t>HIPERMERCADO SAMPAIO</t>
  </si>
  <si>
    <t>Hipermercado Sampaio (CP)</t>
  </si>
  <si>
    <t>COMERCIAL CAMPOS &amp; SAMPAIO LTDA</t>
  </si>
  <si>
    <t>17.518.030/0007-82</t>
  </si>
  <si>
    <t>Mantenópolis</t>
  </si>
  <si>
    <t>(33) 3241-2613</t>
  </si>
  <si>
    <t>ADMCONTROLCONTABIL@GMAIL.COM</t>
  </si>
  <si>
    <t>HIPERMERCADO SAMPAIO CONSELHEIRO PENA LJ 02</t>
  </si>
  <si>
    <t>17.518.030/0005-10</t>
  </si>
  <si>
    <t>HIPERMERCADO SAMPAIO GALILEIA</t>
  </si>
  <si>
    <t>Hipermercado Sampaio (M)</t>
  </si>
  <si>
    <t>HIPERMERCADO SAMPAIO LTDA</t>
  </si>
  <si>
    <t>28.037.541/0006-18</t>
  </si>
  <si>
    <t>Galiléia</t>
  </si>
  <si>
    <t>(33) 3247-1844</t>
  </si>
  <si>
    <t>ESCRITA@ESCRITAONLINE.CNT.BR</t>
  </si>
  <si>
    <t>HIPERMERCADO SAMPAIO ITABIRINHA</t>
  </si>
  <si>
    <t>28.037.541/0001-03</t>
  </si>
  <si>
    <t>Itabirinha</t>
  </si>
  <si>
    <t>SIARE@ESCRITAONLINE.CNT.BR</t>
  </si>
  <si>
    <t>HIPERMERCADO SAMPAIO RESPLENDOR</t>
  </si>
  <si>
    <t>28.037.541/0005-37</t>
  </si>
  <si>
    <t>Resplendor</t>
  </si>
  <si>
    <t>(33) 3623-2099</t>
  </si>
  <si>
    <t>HIPERMERCADO SAMPAIO SAO FELIX</t>
  </si>
  <si>
    <t>28.037.541/0002-94</t>
  </si>
  <si>
    <t>São Félix de Minas</t>
  </si>
  <si>
    <t>(33) 3261-1693</t>
  </si>
  <si>
    <t>HIPERMERCADO TIA TECA LJ 5</t>
  </si>
  <si>
    <t>Tia Teca</t>
  </si>
  <si>
    <t>HIPERMERCADO TIA TECA LTDA</t>
  </si>
  <si>
    <t>15.019.451/0007-33</t>
  </si>
  <si>
    <t>(33) 3529-2601</t>
  </si>
  <si>
    <t>PAGAMENTO@CDFAC.COM.BR</t>
  </si>
  <si>
    <t>HIPERMERCADO VALENTE</t>
  </si>
  <si>
    <t>HIPERMERCADO VALENTE LTDA</t>
  </si>
  <si>
    <t>06.949.540/0001-00</t>
  </si>
  <si>
    <t>HMS DISTRIBUIDORA</t>
  </si>
  <si>
    <t>HMS DISTRIBUIDORA DE COSMETICOS LTDA</t>
  </si>
  <si>
    <t>56.884.179/0001-41</t>
  </si>
  <si>
    <t>Poções</t>
  </si>
  <si>
    <t>(77) 9194-5523</t>
  </si>
  <si>
    <t>HUALLASMASCARENHAS82@GMAIL.COM</t>
  </si>
  <si>
    <t>HORTIFRUTAS</t>
  </si>
  <si>
    <t>Hortifruti</t>
  </si>
  <si>
    <t>HORTIFRUTAS NOBRE LTDA</t>
  </si>
  <si>
    <t>04.770.443/0002-01</t>
  </si>
  <si>
    <t>(31) 3825-5784</t>
  </si>
  <si>
    <t>HORTIFRUTASNOBRE@HOTMAIL.COM</t>
  </si>
  <si>
    <t>HORTIFRUTI SOARES</t>
  </si>
  <si>
    <t>HORTIFRUTI SOARES LTDA</t>
  </si>
  <si>
    <t>17.739.479/0001-85</t>
  </si>
  <si>
    <t>(33) 3322-2282</t>
  </si>
  <si>
    <t>DOCUMENTOS@GESTORAC.COM</t>
  </si>
  <si>
    <t>ILHA DO ACAI</t>
  </si>
  <si>
    <t>COMERCIAL ANDRADE &amp; SOARES LTDA</t>
  </si>
  <si>
    <t>10.500.557/0001-45</t>
  </si>
  <si>
    <t>33 98830 0331</t>
  </si>
  <si>
    <t>PATYTIM2@HOTMAIL.COM</t>
  </si>
  <si>
    <t>INDIANA</t>
  </si>
  <si>
    <t>Indiana</t>
  </si>
  <si>
    <t>IRMAOS MATTAR E CIA LTDA</t>
  </si>
  <si>
    <t>25.102.146/0014-93</t>
  </si>
  <si>
    <t>(33) 3529-1347</t>
  </si>
  <si>
    <t>INDIANA BAHIA</t>
  </si>
  <si>
    <t>IRMAOS MATTAR &amp; CIA LTDA</t>
  </si>
  <si>
    <t>25.102.146/0101-31</t>
  </si>
  <si>
    <t>Eunápolis</t>
  </si>
  <si>
    <t>FISCAL01@FARMACIAINDIANA.COM.BR</t>
  </si>
  <si>
    <t>INDIANA CD BH</t>
  </si>
  <si>
    <t>25.102.146/0228-14</t>
  </si>
  <si>
    <t>Ribeirão das Neves</t>
  </si>
  <si>
    <t>(33) 3529-1300</t>
  </si>
  <si>
    <t>CDINEVES@FARMACIAINDIANA.COM.BR</t>
  </si>
  <si>
    <t>ISABEL CRISTINA VIEG</t>
  </si>
  <si>
    <t>ISABEL CRISTINA VIEGAS ZULSKE 06130813660</t>
  </si>
  <si>
    <t>26.178.344/0001-89</t>
  </si>
  <si>
    <t>33 99921 3075</t>
  </si>
  <si>
    <t>isabelcviegas@hotmail.com</t>
  </si>
  <si>
    <t>ITAMAR FELICIO GOUVE</t>
  </si>
  <si>
    <t>ITAMAR FELICIO GOUVEA</t>
  </si>
  <si>
    <t>03.313.520/0001-42</t>
  </si>
  <si>
    <t>Pocrane</t>
  </si>
  <si>
    <t>33 98891 3879</t>
  </si>
  <si>
    <t>glaydstonejonathan@hotmail.com</t>
  </si>
  <si>
    <t>ITAVALE DISTRIBUIDORA</t>
  </si>
  <si>
    <t>ITAVALE DISTRIBUIDORA LTDA</t>
  </si>
  <si>
    <t>05.452.972/0001-30</t>
  </si>
  <si>
    <t>ITAVALE.ANDRADE@HOTMAIL.COM</t>
  </si>
  <si>
    <t>IVANILDA</t>
  </si>
  <si>
    <t>J A G SUPERMERCADO LTDA</t>
  </si>
  <si>
    <t>06.156.867/0001-17</t>
  </si>
  <si>
    <t>J ALVES SUPERMERCADO</t>
  </si>
  <si>
    <t>J ALVES SUPERMERCADOS LTDA</t>
  </si>
  <si>
    <t>15.710.704/0001-25</t>
  </si>
  <si>
    <t>(31) 3826-9605</t>
  </si>
  <si>
    <t>JOSERENATO@IPATINGACONTABILIDADE.COM.BR</t>
  </si>
  <si>
    <t>J F ATACAREJO</t>
  </si>
  <si>
    <t>J F ATACAREJO LTDA</t>
  </si>
  <si>
    <t>14.896.554/0004-76</t>
  </si>
  <si>
    <t>Ibatiba</t>
  </si>
  <si>
    <t>(33) 3324-1021</t>
  </si>
  <si>
    <t>FRANCO@FRANCOGESTAOCONTABIL.COM.BR</t>
  </si>
  <si>
    <t>JL SUPERMERCADOS ESPLANADA DA ESTACAO</t>
  </si>
  <si>
    <t>Esplanada / Estacao</t>
  </si>
  <si>
    <t>JL SUPERMERCADOS LTDA</t>
  </si>
  <si>
    <t>17.302.829/0005-75</t>
  </si>
  <si>
    <t>(31) 3834-1600</t>
  </si>
  <si>
    <t>ADMINISTRATIVO@JLSUPERMERCADOS.COM</t>
  </si>
  <si>
    <t>JL SUPERMERCADOS GABIROBA</t>
  </si>
  <si>
    <t>17.302.829/0004-94</t>
  </si>
  <si>
    <t>JOVEM PAN</t>
  </si>
  <si>
    <t>SISTEMA DE COMUNICACAO ALVORADA LTDA</t>
  </si>
  <si>
    <t>03.018.311/0001-76</t>
  </si>
  <si>
    <t>(31) 3822-0893</t>
  </si>
  <si>
    <t>IPATINGA@ITATIAIA.COM.BR</t>
  </si>
  <si>
    <t>Julia Cosméticos</t>
  </si>
  <si>
    <t>BELARMINO CAMPOS DOS SANTOS</t>
  </si>
  <si>
    <t>17.049.072/0001-26</t>
  </si>
  <si>
    <t>NOVO CRUZEIRO</t>
  </si>
  <si>
    <t>(33) 9997-1784</t>
  </si>
  <si>
    <t>thsouza1706@gmail.com</t>
  </si>
  <si>
    <t>KAIAC UNIFORMES</t>
  </si>
  <si>
    <t>GR VIANA UNIFORMES, CONFECCOES E COMERCIO LTDA</t>
  </si>
  <si>
    <t>10.463.029/0001-63</t>
  </si>
  <si>
    <t>(31) 3444-9707</t>
  </si>
  <si>
    <t>CONTADOR.PERITO@ACPASSESSORIA.COM.BR</t>
  </si>
  <si>
    <t>KANIDIA ES</t>
  </si>
  <si>
    <t>M. L. D. OLIVEIRA ATACADISTA DE PRODUTOS ALIMENTICIOS LTDA</t>
  </si>
  <si>
    <t>23.243.807/0001-50</t>
  </si>
  <si>
    <t>IBATIBA</t>
  </si>
  <si>
    <t>(28) 3543-1130</t>
  </si>
  <si>
    <t>ESCRITORIODOROBSON@GMAIL.COM</t>
  </si>
  <si>
    <t>KANIDIA MG</t>
  </si>
  <si>
    <t>LUCAS EVANGELISTA MACEDO DE SOUZA</t>
  </si>
  <si>
    <t>08.235.661/0001-08</t>
  </si>
  <si>
    <t>33 3321 1458</t>
  </si>
  <si>
    <t>leatacadista@outlook.com</t>
  </si>
  <si>
    <t>KARAMELLOS</t>
  </si>
  <si>
    <t>JW ATACADO E VAREJO DE CHOCOLATES, BALAS E CONFEITARIA LTDA</t>
  </si>
  <si>
    <t>27.018.625/0001-37</t>
  </si>
  <si>
    <t>(33) 8818-0508</t>
  </si>
  <si>
    <t>KARAMELLOSGV@HOTMAIL.COM</t>
  </si>
  <si>
    <t>KI-MANIA GV</t>
  </si>
  <si>
    <t>RAFAEL NUNES DO CARMO OLIVEIRA</t>
  </si>
  <si>
    <t>35.935.397/0001-98</t>
  </si>
  <si>
    <t>33 99950 1335</t>
  </si>
  <si>
    <t>redekimaniagv@gmail.com</t>
  </si>
  <si>
    <t>LEANDRO AÇAIDERA MIX</t>
  </si>
  <si>
    <t>ACAIDERA MIX LTDA</t>
  </si>
  <si>
    <t>33.705.249/0001-51</t>
  </si>
  <si>
    <t>33 99983 9464</t>
  </si>
  <si>
    <t>Acaideramix.lourdes.gv@gmail.com</t>
  </si>
  <si>
    <t>LIMPANDO</t>
  </si>
  <si>
    <t>LIMPANDO HIGIENE E LIMPEZA LTDA</t>
  </si>
  <si>
    <t>30.804.420/0001-91</t>
  </si>
  <si>
    <t>(33) 3082-0922</t>
  </si>
  <si>
    <t>ATENDIMENTOLIMPANDO@YAHOO.COM</t>
  </si>
  <si>
    <t>LINKMED FARMACEUTICA</t>
  </si>
  <si>
    <t>LINKMED FARMACEUTICA LTDA.</t>
  </si>
  <si>
    <t>26.632.942/0001-86</t>
  </si>
  <si>
    <t>(31) 3741-1984</t>
  </si>
  <si>
    <t>LOJA GLOBO IPATINGS</t>
  </si>
  <si>
    <t>TEIXEIRA &amp; FILHOS COSMETICOS EIRELI</t>
  </si>
  <si>
    <t>66.444.837/0001-38</t>
  </si>
  <si>
    <t>(31) 3822-5222</t>
  </si>
  <si>
    <t>lojaglobo@hotmail.com</t>
  </si>
  <si>
    <t>LOUBACH</t>
  </si>
  <si>
    <t>HC COMERCIO E INDUSTRIA DE SORVETES LTDA</t>
  </si>
  <si>
    <t>01.969.296/0001-16</t>
  </si>
  <si>
    <t>(33) 3271-9070</t>
  </si>
  <si>
    <t>LUCIANO COMERCIO E DISTRIBUIDORA DE BEBIDAS E QUEIJOS LTDA</t>
  </si>
  <si>
    <t>71.014.120/0001-96</t>
  </si>
  <si>
    <t>MAIS LEVE LANCHONETE</t>
  </si>
  <si>
    <t>MAIS LEVE LANCHONETE LTDA</t>
  </si>
  <si>
    <t>34.770.221/0001-60</t>
  </si>
  <si>
    <t>31 99545 1700</t>
  </si>
  <si>
    <t>financeiromaisleve@gmail.com</t>
  </si>
  <si>
    <t>MAKE IMPORTS CB HORTO IPATINGA</t>
  </si>
  <si>
    <t>Maquiagem</t>
  </si>
  <si>
    <t>C M S B FRANCO</t>
  </si>
  <si>
    <t>42.161.020/0001-94</t>
  </si>
  <si>
    <t>(31) 9557-5428</t>
  </si>
  <si>
    <t>CELIABOURG@HOTMAIL.COM</t>
  </si>
  <si>
    <t>MARIA C V RIBEIRO</t>
  </si>
  <si>
    <t>MARIA CLAUDIA VILELA RIBEIRO</t>
  </si>
  <si>
    <t>16.632.919/0001-38</t>
  </si>
  <si>
    <t>Conselheiro Pen</t>
  </si>
  <si>
    <t>33 3261 4718</t>
  </si>
  <si>
    <t>MARIA DAS GRACAS</t>
  </si>
  <si>
    <t>MARIA DAS GRACAS COUTINHO GOMES</t>
  </si>
  <si>
    <t>00.745.953/0001-89</t>
  </si>
  <si>
    <t>33 3221 6139</t>
  </si>
  <si>
    <t>natuceres2008@hotmail.com</t>
  </si>
  <si>
    <t>MDC DISTRIBUIDORA LTDA</t>
  </si>
  <si>
    <t>28.965.704/0001-18</t>
  </si>
  <si>
    <t>(31) 2565-4821</t>
  </si>
  <si>
    <t>MDCDISTRIBUIDORA.COMERCIAL@GMAIL.COM</t>
  </si>
  <si>
    <t>MEGA ATACADISTA</t>
  </si>
  <si>
    <t>MEGA ATACADISTA DE MATERIAIS HOSPITALARES LTDA</t>
  </si>
  <si>
    <t>19.899.651/0001-93</t>
  </si>
  <si>
    <t>(33) 3271-4936</t>
  </si>
  <si>
    <t>FISCALCXAVIER@HOTMAIL.COM</t>
  </si>
  <si>
    <t>MERCAFRUTAS ESPERANC</t>
  </si>
  <si>
    <t>COMERCIAL MIRANDA E MIRANDA LTDA</t>
  </si>
  <si>
    <t>86.619.970/0001-95</t>
  </si>
  <si>
    <t>31 3826 2372</t>
  </si>
  <si>
    <t>mercafrutasesperanca@hotmail.com</t>
  </si>
  <si>
    <t>MERCEARIA ENTRE RIOS MATRIZ</t>
  </si>
  <si>
    <t>Mega Popular / Entre Rios</t>
  </si>
  <si>
    <t>NTA ASSOCIADOS LTDA</t>
  </si>
  <si>
    <t>00.658.483/0001-16</t>
  </si>
  <si>
    <t>(033) 3511-579</t>
  </si>
  <si>
    <t>ENTRERIOSXML@YAHOO.COM.BR</t>
  </si>
  <si>
    <t>MERCES BRASIL - SAUD</t>
  </si>
  <si>
    <t>MERCES BRASIL COMERCIO E DISTRIBUICAO DE PRODUTOS NATURAIS LTDA</t>
  </si>
  <si>
    <t>38.234.021/0001-44</t>
  </si>
  <si>
    <t>33 98847 5060</t>
  </si>
  <si>
    <t>contatomerces@gmail.com</t>
  </si>
  <si>
    <t>MERY COSMÉTICOS - ITINGA</t>
  </si>
  <si>
    <t>MEIRIELLY PEREIRA DE ALMEIDA 12398285600</t>
  </si>
  <si>
    <t>35.558.780/0001-74</t>
  </si>
  <si>
    <t>Itinga</t>
  </si>
  <si>
    <t>(33) 8816-8899</t>
  </si>
  <si>
    <t>MEIRIELLYCCB@HOTMAIL.COM</t>
  </si>
  <si>
    <t>MEU QUINTAL</t>
  </si>
  <si>
    <t>VALERIA SILVA BENICHIO 05455178695</t>
  </si>
  <si>
    <t>32.352.059/0001-35</t>
  </si>
  <si>
    <t>31 97580 0948</t>
  </si>
  <si>
    <t>dumeuquintal@gmail.com</t>
  </si>
  <si>
    <t>MIRABRAS ATACADO</t>
  </si>
  <si>
    <t>Miranda / Mirabras</t>
  </si>
  <si>
    <t>MIRABRAS COMERCIO IMPORTACAO E EXPORTACAO LTDA</t>
  </si>
  <si>
    <t>86.440.732/0007-03</t>
  </si>
  <si>
    <t>Carangola</t>
  </si>
  <si>
    <t>(31) 3741-2668</t>
  </si>
  <si>
    <t>MIRABRAS@MIRABRAS.COM.BR</t>
  </si>
  <si>
    <t>MIRANDA SUPERMERCADO DIVINO</t>
  </si>
  <si>
    <t>86.440.732/0009-75</t>
  </si>
  <si>
    <t>Divino</t>
  </si>
  <si>
    <t>(32) 3741-2668</t>
  </si>
  <si>
    <t>MIRANDA SUPERMERCADOS ESPERA FELIZ LJ2</t>
  </si>
  <si>
    <t>86.440.732/0010-09</t>
  </si>
  <si>
    <t>Espera Feliz</t>
  </si>
  <si>
    <t>MIRANDA SUPERMERCADOS ISIDORO</t>
  </si>
  <si>
    <t>86.440.732/0005-41</t>
  </si>
  <si>
    <t>Manhumirim</t>
  </si>
  <si>
    <t>MIRANDA SUPERMERCADOS NOVO HORIZONTE</t>
  </si>
  <si>
    <t>86.440.732/0006-22</t>
  </si>
  <si>
    <t>MIRANDA SUPERMERCADOS OURO VERDE</t>
  </si>
  <si>
    <t>86.440.732/0001-18</t>
  </si>
  <si>
    <t>MIRANDA SUPERMERCADOS TRIANGULO</t>
  </si>
  <si>
    <t>86.440.732/0008-94</t>
  </si>
  <si>
    <t>(32) 3741-2688</t>
  </si>
  <si>
    <t>MISTERPANE BH</t>
  </si>
  <si>
    <t>Misterpane / Pecanha</t>
  </si>
  <si>
    <t>MISTERPANE INDUSTRIA E COMERCIO LTDA</t>
  </si>
  <si>
    <t>42.975.886/0003-09</t>
  </si>
  <si>
    <t>(33) 3022-1736</t>
  </si>
  <si>
    <t>CONTABILIDADE@CONTCASTRO.COM.BR</t>
  </si>
  <si>
    <t>MISTERPANE PECANHA GV</t>
  </si>
  <si>
    <t>42.975.886/0002-10</t>
  </si>
  <si>
    <t>MUNDO DA EMBALAGEM</t>
  </si>
  <si>
    <t>Distribuidor Embalagem</t>
  </si>
  <si>
    <t>MUNDO DA EMBALAGEM LTDA</t>
  </si>
  <si>
    <t>04.619.492/0001-59</t>
  </si>
  <si>
    <t>(33) 3275-3668</t>
  </si>
  <si>
    <t>MUNDODAEMBALAGEM@YAHOO.COM.BR</t>
  </si>
  <si>
    <t>MUNDO DA SAUDE</t>
  </si>
  <si>
    <t>GILBERTO BALBINO BARBOSA</t>
  </si>
  <si>
    <t>07.127.862/0001-29</t>
  </si>
  <si>
    <t>Ipanema</t>
  </si>
  <si>
    <t>33 3314 2036</t>
  </si>
  <si>
    <t>gilbertobalbino@hotmail.com</t>
  </si>
  <si>
    <t>GILBERTO BALBINO BARBOSA EIRELI</t>
  </si>
  <si>
    <t>39.743.301/0001-40</t>
  </si>
  <si>
    <t>28 3314 2565</t>
  </si>
  <si>
    <t>NATU FIT</t>
  </si>
  <si>
    <t>NATU FIT COMERCIO DE PRODUTOS NATURAIS LTDA</t>
  </si>
  <si>
    <t>33.765.484/0001-19</t>
  </si>
  <si>
    <t>31 7307 6207</t>
  </si>
  <si>
    <t>natufitstore@gmail.com</t>
  </si>
  <si>
    <t>NATUVITA</t>
  </si>
  <si>
    <t>ERIKA SANTANA DE AQUINO CARVALHO 08303186663</t>
  </si>
  <si>
    <t>37.747.074/0001-04</t>
  </si>
  <si>
    <t>Itanhomi</t>
  </si>
  <si>
    <t>33 98824 0021</t>
  </si>
  <si>
    <t>erika-santana2007@hotmail.com</t>
  </si>
  <si>
    <t>NILSON DA SILVA OLIV</t>
  </si>
  <si>
    <t>NILSON DA SILVA OLIVEIRA - ME</t>
  </si>
  <si>
    <t>01.248.647/0001-08</t>
  </si>
  <si>
    <t>33 3221 5061</t>
  </si>
  <si>
    <t>msnnilson@hotmail.com</t>
  </si>
  <si>
    <t>NOSSA DISTRIBUIDORA</t>
  </si>
  <si>
    <t>NOSSA DISTRIBUIDORA DE ALIMENTOS LTDA</t>
  </si>
  <si>
    <t>15.385.340/0001-55</t>
  </si>
  <si>
    <t>(31) 3771-2031</t>
  </si>
  <si>
    <t>CARLOS@CARLOSCAMPELOCONTABILIDADE.COM.BR</t>
  </si>
  <si>
    <t>NOVA EUROPA LOJA 1</t>
  </si>
  <si>
    <t>Nova Europa</t>
  </si>
  <si>
    <t>SUPERMECADO NOVA EUROPA LTDA</t>
  </si>
  <si>
    <t>23.805.419/0001-16</t>
  </si>
  <si>
    <t>31 3831 3030</t>
  </si>
  <si>
    <t>supermercadonovaeuropa@yahoo.com.br</t>
  </si>
  <si>
    <t>NOVA EUROPA LOJA 2</t>
  </si>
  <si>
    <t>23.805.419/0002-05</t>
  </si>
  <si>
    <t>NUACAI</t>
  </si>
  <si>
    <t>RENAN TRIUNFO DE MATOS - ME</t>
  </si>
  <si>
    <t>23.991.774/0001-27</t>
  </si>
  <si>
    <t>31 3826 2995</t>
  </si>
  <si>
    <t>nuacai@nuacai.com.br</t>
  </si>
  <si>
    <t>NUDE COSMETICOS</t>
  </si>
  <si>
    <t>NUDE COSMETICOS LTDA</t>
  </si>
  <si>
    <t>13.293.688/0001-97</t>
  </si>
  <si>
    <t>31 3831 2240</t>
  </si>
  <si>
    <t>nude@nudecosmeticos.com.br</t>
  </si>
  <si>
    <t>OPA CARNES E BEBIDAS</t>
  </si>
  <si>
    <t>ASSIS E SA LTDA</t>
  </si>
  <si>
    <t>39.239.055/0001-94</t>
  </si>
  <si>
    <t>(31) 8873-8001</t>
  </si>
  <si>
    <t>OPACARNESEBEBIDAS@GMAIL.COM</t>
  </si>
  <si>
    <t>OPA SUPERMERCADOS</t>
  </si>
  <si>
    <t>36.444.757/0002-00</t>
  </si>
  <si>
    <t>Sabará</t>
  </si>
  <si>
    <t>(31) 3267-5807</t>
  </si>
  <si>
    <t>OPA SUPERMERCADOS NAZARÉ</t>
  </si>
  <si>
    <t>36.444.757/0004-64</t>
  </si>
  <si>
    <t>ORG CEREAIS MONLEVAD</t>
  </si>
  <si>
    <t>Org Cereais Monlevade</t>
  </si>
  <si>
    <t>ORGANIZACAO DE CEREAIS MONLEVADE LIMITADA</t>
  </si>
  <si>
    <t>18.107.045/0002-06</t>
  </si>
  <si>
    <t>31 3852 4411</t>
  </si>
  <si>
    <t>nfehipersuper@gmail.com</t>
  </si>
  <si>
    <t>ORG CEREAIS MONLEVAD LJ03</t>
  </si>
  <si>
    <t>18.107.045/0003-97</t>
  </si>
  <si>
    <t>ORGANIZACAO DE CEREA</t>
  </si>
  <si>
    <t>ORGANIZACAO DE CEREAIS MONLEVADE LTDA</t>
  </si>
  <si>
    <t>18.107.045/0001-25</t>
  </si>
  <si>
    <t>nfehipersuper@gmail.com;eliana@comercialmonlevade.com.br</t>
  </si>
  <si>
    <t>ORGANIZACOES JMF OLARIA LTDA</t>
  </si>
  <si>
    <t>04.373.539/0004-90</t>
  </si>
  <si>
    <t>ORIENTE</t>
  </si>
  <si>
    <t>ORIENTE FARMACEUTICA COMERCIO IMPORTACAO E EXPORTACAO LTDA</t>
  </si>
  <si>
    <t>38.681.730/0001-78</t>
  </si>
  <si>
    <t>(31) 2109-3300</t>
  </si>
  <si>
    <t>PAULOLUCAS@ORIENTEFARMA.COM.BR</t>
  </si>
  <si>
    <t>PADARIA DO TEOFILO</t>
  </si>
  <si>
    <t>Fabrica</t>
  </si>
  <si>
    <t>BRAGA &amp; CIA LTDA</t>
  </si>
  <si>
    <t>24.872.038/0001-12</t>
  </si>
  <si>
    <t>Sao Pedro dos Ferros</t>
  </si>
  <si>
    <t>33 8713 0811</t>
  </si>
  <si>
    <t>padariadoteofilo@gmail.com</t>
  </si>
  <si>
    <t>PANIFICAÇÃO BIG MAIS</t>
  </si>
  <si>
    <t>07.263.762/0002-00</t>
  </si>
  <si>
    <t>PE DE FRUTA</t>
  </si>
  <si>
    <t>ANDRE LUIZ SANTANA FERNANDES 07598209618</t>
  </si>
  <si>
    <t>30.865.902/0001-51</t>
  </si>
  <si>
    <t>31 99554 4757</t>
  </si>
  <si>
    <t>adler.luis@hotmail.com</t>
  </si>
  <si>
    <t>PERFUMARIA DESTAK</t>
  </si>
  <si>
    <t>PERFUMARIA ASSIS E CASTRO LTDA</t>
  </si>
  <si>
    <t>15.478.026/0001-17</t>
  </si>
  <si>
    <t>(31) 3851-8993</t>
  </si>
  <si>
    <t>PERFUMARIADESTAK@YAHOO.COM.BR</t>
  </si>
  <si>
    <t>PIZZA PARK</t>
  </si>
  <si>
    <t>JOPAFE PIZZARIA E SORVETERIA LTDA</t>
  </si>
  <si>
    <t>10.737.988/0001-20</t>
  </si>
  <si>
    <t>33 3225 2535</t>
  </si>
  <si>
    <t>pizza.park@hotmail.com</t>
  </si>
  <si>
    <t>PIZZARIA DO JAYME</t>
  </si>
  <si>
    <t>J &amp; A PIZZARIA LTDA</t>
  </si>
  <si>
    <t>06.160.171/0001-64</t>
  </si>
  <si>
    <t>31 3821 1245</t>
  </si>
  <si>
    <t>IGUACU@SOARESECRUZ.COM.BR</t>
  </si>
  <si>
    <t>PLANETA ACAI AMAZONI</t>
  </si>
  <si>
    <t>VITOR JORDAO DE ALMEIDA LOPES 10983730652</t>
  </si>
  <si>
    <t>37.261.318/0001-36</t>
  </si>
  <si>
    <t>31 3822 8850</t>
  </si>
  <si>
    <t>vitor13300@gmail.com</t>
  </si>
  <si>
    <t>PLANETA AÇAI</t>
  </si>
  <si>
    <t>MAYLE CARVALHO GUIMARAES RIBEIRO 06528506698</t>
  </si>
  <si>
    <t>44.446.606/0001-20</t>
  </si>
  <si>
    <t>(31) 3822-8850</t>
  </si>
  <si>
    <t>MAYLECGUIMARAES@HOTMAIL.COM</t>
  </si>
  <si>
    <t>POINT DO ACAI</t>
  </si>
  <si>
    <t>RICHARDSON TAYLON MARTINS DE ABREU</t>
  </si>
  <si>
    <t>11.992.333/0001-60</t>
  </si>
  <si>
    <t>31 3846 6235</t>
  </si>
  <si>
    <t>JULIANY MARA NEVES APOLINARIO 10556275616</t>
  </si>
  <si>
    <t>20.405.735/0001-02</t>
  </si>
  <si>
    <t>(31) 3822-8017</t>
  </si>
  <si>
    <t>JULIANYERAFAEL@HOTMAIL.COM</t>
  </si>
  <si>
    <t>Acai</t>
  </si>
  <si>
    <t>JOSE LEANDRO NEVES BARROS 07568341631</t>
  </si>
  <si>
    <t>17.221.234/0001-61</t>
  </si>
  <si>
    <t>(31) 3801-1403</t>
  </si>
  <si>
    <t>MARCIOCONT.DF@GMAIL.COM</t>
  </si>
  <si>
    <t>PONTO COM ACAI</t>
  </si>
  <si>
    <t>FABRICIO RODRIGUES DE MORAIS 13260106626</t>
  </si>
  <si>
    <t>28.333.601/0001-35</t>
  </si>
  <si>
    <t>33 99911 1997</t>
  </si>
  <si>
    <t>f_abricio_gv@hotmail.com</t>
  </si>
  <si>
    <t>PONTO DO ACAI</t>
  </si>
  <si>
    <t>NILSON RAMALHO DE SOUSA</t>
  </si>
  <si>
    <t>30.965.858/0001-51</t>
  </si>
  <si>
    <t>33 3025 3163</t>
  </si>
  <si>
    <t>mariaaugusta_17@hotmail.com</t>
  </si>
  <si>
    <t>PORTUETTO</t>
  </si>
  <si>
    <t>FVE SORVETES EIRELI</t>
  </si>
  <si>
    <t>26.680.963/0001-77</t>
  </si>
  <si>
    <t>31 3823 4084</t>
  </si>
  <si>
    <t>portuetto@hotmail.com</t>
  </si>
  <si>
    <t>PRIME DISTRIBUIDORA</t>
  </si>
  <si>
    <t>PRIME DISTRIBUIDORA E COM. SPE LTDA</t>
  </si>
  <si>
    <t>43.915.961/0001-39</t>
  </si>
  <si>
    <t>(31) 3822-6342</t>
  </si>
  <si>
    <t>LEGALIZACAO@ATUALCONTABILIDADE.SRV.BR</t>
  </si>
  <si>
    <t>QUEIJARIA TRES IRMAS LTDA</t>
  </si>
  <si>
    <t>40.292.360/0002-00</t>
  </si>
  <si>
    <t>(33) 9191-7646</t>
  </si>
  <si>
    <t>RIBEIROFIORENTINI@GMAIL.COM</t>
  </si>
  <si>
    <t>R3 DISTRIBUIDORA</t>
  </si>
  <si>
    <t>R3 DISTRIBUIDORA LTDA</t>
  </si>
  <si>
    <t>12.599.884/0001-21</t>
  </si>
  <si>
    <t>31 3838 3237</t>
  </si>
  <si>
    <t>bruno@r3distribuidoramg.com.br</t>
  </si>
  <si>
    <t>RAILA NA COZINHA</t>
  </si>
  <si>
    <t>RAILA THALITA ARRUDA DA SILVA 11585023620</t>
  </si>
  <si>
    <t>46.003.894/0001-74</t>
  </si>
  <si>
    <t>(31) 7540-7056</t>
  </si>
  <si>
    <t>RAILATHALITA.ADM.18@GMAIL.COM</t>
  </si>
  <si>
    <t>RAIMUNDO FERREIRA FILHO - ITANHOMI</t>
  </si>
  <si>
    <t>RAIMUNDO FERREIRA FILHO</t>
  </si>
  <si>
    <t>10.562.639/0001-14</t>
  </si>
  <si>
    <t>(33) 3231-1710</t>
  </si>
  <si>
    <t>CONTABILJVPENAFORTE@HOTMAIL.COM</t>
  </si>
  <si>
    <t>RD PHARMA</t>
  </si>
  <si>
    <t>RD PHARMA LTDA</t>
  </si>
  <si>
    <t>10.491.244/0001-78</t>
  </si>
  <si>
    <t>(33) 3272-9041</t>
  </si>
  <si>
    <t>COMPRAS@RDPHARMAGV.COM.BR</t>
  </si>
  <si>
    <t>RE COMERCIO - BARRA DE SAO FRANCISCO</t>
  </si>
  <si>
    <t>RE COMERCIO LTDA</t>
  </si>
  <si>
    <t>46.247.339/0001-98</t>
  </si>
  <si>
    <t>Barra de São Francisco</t>
  </si>
  <si>
    <t>(33) 98808-7434</t>
  </si>
  <si>
    <t>RECOMERCIO84@GMAIL.COM</t>
  </si>
  <si>
    <t>RECANTO DO ACAI</t>
  </si>
  <si>
    <t>RECANTO DO ACAI GV LTDA</t>
  </si>
  <si>
    <t>61.970.667/0001-01</t>
  </si>
  <si>
    <t>(33) 3271-1655</t>
  </si>
  <si>
    <t>CONTRATODELTA@GMAIL.COM</t>
  </si>
  <si>
    <t>GRIGOLETTI LANCHES LTDA</t>
  </si>
  <si>
    <t>03.343.885/0001-10</t>
  </si>
  <si>
    <t>RECANTO DO ACAI CONT</t>
  </si>
  <si>
    <t>GUSTAVO GRIGOLETTI BARBOSA</t>
  </si>
  <si>
    <t>30.808.706/0001-45</t>
  </si>
  <si>
    <t>REDE OMEGA DROGARIAS</t>
  </si>
  <si>
    <t>FARMA MAIS LTDA</t>
  </si>
  <si>
    <t>43.761.418/0001-24</t>
  </si>
  <si>
    <t>(31) 8569-6527</t>
  </si>
  <si>
    <t>cead@ceaditabira.com.br</t>
  </si>
  <si>
    <t>REDE REDENÇAO</t>
  </si>
  <si>
    <t>CONECTA VAREJO</t>
  </si>
  <si>
    <t>17.314.995/0001-68</t>
  </si>
  <si>
    <t>(31) 3198-5500</t>
  </si>
  <si>
    <t>rose@supersj.com.br</t>
  </si>
  <si>
    <t>REDE SOMA DROGARIA</t>
  </si>
  <si>
    <t>RPX DROGARIA E PERFUMARIA LTDA</t>
  </si>
  <si>
    <t>16.830.844/0003-61</t>
  </si>
  <si>
    <t>REI DO CLORO</t>
  </si>
  <si>
    <t>REI DO CLORO COMERCIO VAREJISTA DE ARTIGOS DE PISCINA LTDA</t>
  </si>
  <si>
    <t>08.538.776/0001-71</t>
  </si>
  <si>
    <t>(33) 3521-6264</t>
  </si>
  <si>
    <t>RESENDE E SANTOS</t>
  </si>
  <si>
    <t>RESENDE &amp; SANTOS DE MOC LTDA</t>
  </si>
  <si>
    <t>01.784.943/0001-15</t>
  </si>
  <si>
    <t>38 99124 9430</t>
  </si>
  <si>
    <t>anaeliza@resendesantos.com.br</t>
  </si>
  <si>
    <t>RIBEIRO COMERCIAL</t>
  </si>
  <si>
    <t>RIBEIRO COMERCIAL LTDA</t>
  </si>
  <si>
    <t>26.034.425/0001-05</t>
  </si>
  <si>
    <t>(31) 3822-1848</t>
  </si>
  <si>
    <t>COMERCIORIBEIRO2@HOTMAIL.COM</t>
  </si>
  <si>
    <t>RM ENXOVAIS</t>
  </si>
  <si>
    <t>REGIANE DE BARROS MARQUES 07892657614</t>
  </si>
  <si>
    <t>40.450.273/0001-52</t>
  </si>
  <si>
    <t>(33) 9173-3247</t>
  </si>
  <si>
    <t>MARQUESREGIANE09@GMAIL.COM</t>
  </si>
  <si>
    <t>ROBERIO</t>
  </si>
  <si>
    <t>PATRICIA MARTINS DE MELO VIEIRA 81129076687</t>
  </si>
  <si>
    <t>33.440.162/0001-08</t>
  </si>
  <si>
    <t>(33) 3212-0223</t>
  </si>
  <si>
    <t>ROBERIOVIEIRA37@HOTMAIL.COM</t>
  </si>
  <si>
    <t>ROSA COMERCIO E DISTRIBUIDORA DE BEBIDAS E QUEIJOS LTDA</t>
  </si>
  <si>
    <t>06.921.429/0001-06</t>
  </si>
  <si>
    <t>S. FURTADO</t>
  </si>
  <si>
    <t>S. FURTADO DA SILVA E CIA LTDA</t>
  </si>
  <si>
    <t>41.793.050/0001-50</t>
  </si>
  <si>
    <t>(33) 3314-1566</t>
  </si>
  <si>
    <t>COMPRAS@ATACADAOFURTADO.COM.BR</t>
  </si>
  <si>
    <t>SABOR TROPICAL</t>
  </si>
  <si>
    <t>RODRIGO PIMENTA MARTINS DE ALMEIDA</t>
  </si>
  <si>
    <t>30.195.479/0001-20</t>
  </si>
  <si>
    <t>VIRGINOPOLIS</t>
  </si>
  <si>
    <t>33 988102 0344</t>
  </si>
  <si>
    <t>rodrigoguanhaes@hotmail.com</t>
  </si>
  <si>
    <t>SAFIRA</t>
  </si>
  <si>
    <t>SAFIRA ATACADISTA LTDA</t>
  </si>
  <si>
    <t>36.379.365/0001-16</t>
  </si>
  <si>
    <t>(31) 3394-1814</t>
  </si>
  <si>
    <t>HUGO_MACIEIRA@HOTMAIL.COM</t>
  </si>
  <si>
    <t>SAMPAIO CONSELHEIRO PENA LJ 01</t>
  </si>
  <si>
    <t>17.518.030/0006-00</t>
  </si>
  <si>
    <t>SAMPAIO CUPARAQUE</t>
  </si>
  <si>
    <t>17.518.030/0004-30</t>
  </si>
  <si>
    <t>SANTORINI RESTAURANT</t>
  </si>
  <si>
    <t>M B DAMACENO - EIRELI</t>
  </si>
  <si>
    <t>72.775.190/0001-60</t>
  </si>
  <si>
    <t>33 3022 4747</t>
  </si>
  <si>
    <t>restaurantesantorini@hotmail.com</t>
  </si>
  <si>
    <t>SAO JOSE SMART</t>
  </si>
  <si>
    <t>GERALDO JOSE DE LIMA</t>
  </si>
  <si>
    <t>42.880.674/0001-78</t>
  </si>
  <si>
    <t>33 3316 1582</t>
  </si>
  <si>
    <t>merceariadogeraldo@hotmail.com</t>
  </si>
  <si>
    <t>SE7E ATACADO DISTRIBUIDOR E LOGISTICA</t>
  </si>
  <si>
    <t>SE7E ATACADO DISTRIBUIDOR E LOGISTICA LTDA</t>
  </si>
  <si>
    <t>45.282.044/0001-90</t>
  </si>
  <si>
    <t>Iúna</t>
  </si>
  <si>
    <t>(28) 9999-2876</t>
  </si>
  <si>
    <t>SE7EATACADO@OUTLOOK.COM.BR</t>
  </si>
  <si>
    <t>SER NATURAL</t>
  </si>
  <si>
    <t>SER NATURAL COMERCIO DE PRODUTOS NATURAIS LTDA</t>
  </si>
  <si>
    <t>31.770.443/0001-95</t>
  </si>
  <si>
    <t>31 98718 3380</t>
  </si>
  <si>
    <t>-sernaturalipatinga2018@gmail.com</t>
  </si>
  <si>
    <t>SILVA COSMETICOS</t>
  </si>
  <si>
    <t>SILVA COSMETICOS LTDA</t>
  </si>
  <si>
    <t>18.431.149/0001-90</t>
  </si>
  <si>
    <t>(31) 97117-8127</t>
  </si>
  <si>
    <t>SAULOARRUDA10@HOTMAIL.COM</t>
  </si>
  <si>
    <t>SJ SUPERMERCADOS</t>
  </si>
  <si>
    <t>Grupo 18979708</t>
  </si>
  <si>
    <t>FORNECEDORA JACOME COMERCIO E INDUSTRIA LTDA</t>
  </si>
  <si>
    <t>18.979.708/0004-44</t>
  </si>
  <si>
    <t>31 3198 5500</t>
  </si>
  <si>
    <t>nfe@supersj.com.br;rose@supersj.com.br</t>
  </si>
  <si>
    <t>18.979.708/0001-00</t>
  </si>
  <si>
    <t>Barao de Cocais</t>
  </si>
  <si>
    <t>31 3837 5092</t>
  </si>
  <si>
    <t>SO GELADOS</t>
  </si>
  <si>
    <t>SO GELADOS COMERCIO DE ACAI E COMPLEMENTOS LTDA</t>
  </si>
  <si>
    <t>16.765.975/0001-40</t>
  </si>
  <si>
    <t>(33) 8805-8609</t>
  </si>
  <si>
    <t>CONTABILLUCIMAR@HOTMAIL.COM</t>
  </si>
  <si>
    <t>SO LARANJA SUPERMERCADO</t>
  </si>
  <si>
    <t>SO LARANJA SUPERMERCADO LTDA</t>
  </si>
  <si>
    <t>33.411.147/0001-23</t>
  </si>
  <si>
    <t>SOLARANJASUPERMERCADO@GMAIL.COM</t>
  </si>
  <si>
    <t>SOBREMESAS GOURMET</t>
  </si>
  <si>
    <t>ANDRE LUIZ DIAS 10110540603</t>
  </si>
  <si>
    <t>20.142.052/0001-00</t>
  </si>
  <si>
    <t>33 98751 2341</t>
  </si>
  <si>
    <t>andregv.com@gmail.com</t>
  </si>
  <si>
    <t>DHULIA MARTINS SILVA CUNHA 11447882695</t>
  </si>
  <si>
    <t>28.781.820/0001-87</t>
  </si>
  <si>
    <t>(33) 3203-7122</t>
  </si>
  <si>
    <t>ANDREGV.COM@GMAIL.COM</t>
  </si>
  <si>
    <t>SOFT COSMETICOS</t>
  </si>
  <si>
    <t>ROBERIO DE SOUSA EIRELI</t>
  </si>
  <si>
    <t>15.742.529/0001-58</t>
  </si>
  <si>
    <t>31 3841 5701</t>
  </si>
  <si>
    <t>roberio-s@hotmail.com</t>
  </si>
  <si>
    <t>SOL E NEVE</t>
  </si>
  <si>
    <t>Sol / Neve</t>
  </si>
  <si>
    <t>MAV SORVETERIA LANCHONETE E FESTAS EIRELI</t>
  </si>
  <si>
    <t>30.115.043/0002-64</t>
  </si>
  <si>
    <t>31 99994 0706</t>
  </si>
  <si>
    <t>marcellaandradevenancio@gmail.com</t>
  </si>
  <si>
    <t>30.115.043/0001-83</t>
  </si>
  <si>
    <t>SONHO GELATO</t>
  </si>
  <si>
    <t>GABRIEL LORRAN DOS REIS SANTOS 02179483678</t>
  </si>
  <si>
    <t>35.781.759/0001-33</t>
  </si>
  <si>
    <t>33 98834 1941</t>
  </si>
  <si>
    <t>GL347191@gmail.com</t>
  </si>
  <si>
    <t>SONIA SALGADOS</t>
  </si>
  <si>
    <t>ROBSON RIBEIRO DOS SANTOS</t>
  </si>
  <si>
    <t>10.762.405/0001-10</t>
  </si>
  <si>
    <t>33 3275 4317</t>
  </si>
  <si>
    <t>Soniagvsalgados@hotmail.com</t>
  </si>
  <si>
    <t>SORVETERIA SALADA</t>
  </si>
  <si>
    <t>PAULA BRAGATTO RIBEIRO</t>
  </si>
  <si>
    <t>05.401.071/0001-10</t>
  </si>
  <si>
    <t>33 3271 4062</t>
  </si>
  <si>
    <t>paulabragatto@gmail.com</t>
  </si>
  <si>
    <t>SORVETERIA.COM</t>
  </si>
  <si>
    <t>SUELLEN RODRIGUES ABRANTES 13339385602</t>
  </si>
  <si>
    <t>35.054.763/0001-08</t>
  </si>
  <si>
    <t>33 98858 8447</t>
  </si>
  <si>
    <t>sorveteria.comm@gmail.com</t>
  </si>
  <si>
    <t>SUELI CANDIDA DA SIL</t>
  </si>
  <si>
    <t>SUELI CANDIDA DA SILVA MONTEIRO 06039830654</t>
  </si>
  <si>
    <t>30.662.420/0001-02</t>
  </si>
  <si>
    <t>GALILEIA</t>
  </si>
  <si>
    <t>33 99809 1699</t>
  </si>
  <si>
    <t>chmonteiro1@gmail.com</t>
  </si>
  <si>
    <t>SUP MOREIRA - BETHANIA</t>
  </si>
  <si>
    <t>Sup / Moreira</t>
  </si>
  <si>
    <t>FM COMERCIO E TRANSPORTES LTDA</t>
  </si>
  <si>
    <t>08.849.822/0001-53</t>
  </si>
  <si>
    <t>31 3826 6012</t>
  </si>
  <si>
    <t>fmcomercioetransportesltda@hotmail.com</t>
  </si>
  <si>
    <t>SUP MOREIRA - CANAA</t>
  </si>
  <si>
    <t>08.849.822/0002-34</t>
  </si>
  <si>
    <t>31 3841 3709</t>
  </si>
  <si>
    <t>filialfm@hotmail.com</t>
  </si>
  <si>
    <t>SUP NOVA AMERICA</t>
  </si>
  <si>
    <t>SUPERMERCADO DUARTE E LAGE LTDA</t>
  </si>
  <si>
    <t>07.351.197/0001-52</t>
  </si>
  <si>
    <t>SANTA BARBARA</t>
  </si>
  <si>
    <t>31 3832 4747</t>
  </si>
  <si>
    <t>novaamericasb@yahoo.com.br</t>
  </si>
  <si>
    <t>SUP OPA LOJA 02</t>
  </si>
  <si>
    <t>OPA</t>
  </si>
  <si>
    <t>HIPER OPA LTDA</t>
  </si>
  <si>
    <t>01.371.588/0002-33</t>
  </si>
  <si>
    <t>31 3445 6954</t>
  </si>
  <si>
    <t>opafilial@supermercadosopa.com.br</t>
  </si>
  <si>
    <t>SUP OPA MATRIZ</t>
  </si>
  <si>
    <t>01.371.588/0001-52</t>
  </si>
  <si>
    <t>31 3433 3070</t>
  </si>
  <si>
    <t>super kilo</t>
  </si>
  <si>
    <t>PF</t>
  </si>
  <si>
    <t>SUPERKILO</t>
  </si>
  <si>
    <t>EFE ELE COMERCIO</t>
  </si>
  <si>
    <t>02.869.567/0001-24</t>
  </si>
  <si>
    <t>33 3222 7070</t>
  </si>
  <si>
    <t>nfesuperkilo@superkilo.com.br</t>
  </si>
  <si>
    <t>SUPERM TRES IRMAOS</t>
  </si>
  <si>
    <t>Três Irmãos</t>
  </si>
  <si>
    <t>MERCEARIA ESQUINAO DA AVENIDA LTDA</t>
  </si>
  <si>
    <t>20.219.796/0003-47</t>
  </si>
  <si>
    <t>33 3421 4925</t>
  </si>
  <si>
    <t>tresirmaos.loja2@gmail.com</t>
  </si>
  <si>
    <t>SUPERM TRES IRMAOS MATRIZ</t>
  </si>
  <si>
    <t>MERCEARIA ESQUNAO DA AVENIDA LTDA</t>
  </si>
  <si>
    <t>20.219.796/0001-85</t>
  </si>
  <si>
    <t>33 3421 1179</t>
  </si>
  <si>
    <t>conferencianf@gmail.com</t>
  </si>
  <si>
    <t>SUPERMECADO OLARIA</t>
  </si>
  <si>
    <t>SUPERMECADO OLARIA EIRELI ME</t>
  </si>
  <si>
    <t>27.216.864/0001-00</t>
  </si>
  <si>
    <t>31 3848 4480</t>
  </si>
  <si>
    <t>superolaria@gmail.com</t>
  </si>
  <si>
    <t>SUPERMERC FILADELFIA</t>
  </si>
  <si>
    <t>MERCEARIA BRITO LTDA</t>
  </si>
  <si>
    <t>11.957.322/0001-40</t>
  </si>
  <si>
    <t>tarcisio.brito@hotmail.com</t>
  </si>
  <si>
    <t>SUPERMERCADO ALMEIDA</t>
  </si>
  <si>
    <t>COMERCIAL CEZAR ALMEIDA LTDA</t>
  </si>
  <si>
    <t>38.469.706/0001-70</t>
  </si>
  <si>
    <t>33 3241 1294</t>
  </si>
  <si>
    <t>supermercado.almeida@hotmail.com</t>
  </si>
  <si>
    <t>SUPERMERCADO ANACLETO</t>
  </si>
  <si>
    <t>JRA COMERCIO E DISTRIBUICAO DE ALIMENTOS EIRELI</t>
  </si>
  <si>
    <t>26.308.783/0001-69</t>
  </si>
  <si>
    <t>MUTUM</t>
  </si>
  <si>
    <t>33 99197 2999</t>
  </si>
  <si>
    <t>SUPERMERCADO BOA COMPRA</t>
  </si>
  <si>
    <t>Boa / Compra</t>
  </si>
  <si>
    <t>CIRO VERNER DE PAULA NUNES - EIRELI</t>
  </si>
  <si>
    <t>19.407.007/0008-27</t>
  </si>
  <si>
    <t>Almenara</t>
  </si>
  <si>
    <t>(33) 8873-0482</t>
  </si>
  <si>
    <t>FISCAL@SUPERMERCADOSBOACOMPRA.COM.BR</t>
  </si>
  <si>
    <t>SUPERMERCADO BOA COMPRA TAIOBEIRAS</t>
  </si>
  <si>
    <t>19.407.007/0010-41</t>
  </si>
  <si>
    <t>SUPERMERCADO BRASIL BROMELIA</t>
  </si>
  <si>
    <t>02.912.729/0003-21</t>
  </si>
  <si>
    <t>31 3847 8000</t>
  </si>
  <si>
    <t>nfebromelias@brasilsupermercados.com.br</t>
  </si>
  <si>
    <t>SUPERMERCADO BRASIL TIMIRIM</t>
  </si>
  <si>
    <t>02.912.729/0001-60</t>
  </si>
  <si>
    <t>31 3848 4873</t>
  </si>
  <si>
    <t>nfetimirim@brasilsupermercados.com.br</t>
  </si>
  <si>
    <t>02.912.729/0002-40</t>
  </si>
  <si>
    <t>(31) 3848-4010</t>
  </si>
  <si>
    <t>TRAJETO@GLOBALSITE.COM.BR</t>
  </si>
  <si>
    <t>SUPERMERCADO CANTELI</t>
  </si>
  <si>
    <t>SUPERMERCADO CANTELI LTDA</t>
  </si>
  <si>
    <t>23.954.365/0001-50</t>
  </si>
  <si>
    <t>Antônio Dias</t>
  </si>
  <si>
    <t>(31) 3821-3780</t>
  </si>
  <si>
    <t>JOSERENATO@VISAOIPA.COM.BR</t>
  </si>
  <si>
    <t>SUPERMERCADO CENTRAL CAPUTIRA</t>
  </si>
  <si>
    <t>Central / Martins e Barros</t>
  </si>
  <si>
    <t>SUPERMERCADO MARTINS E BARROS LTDA</t>
  </si>
  <si>
    <t>24.273.986/0005-65</t>
  </si>
  <si>
    <t>Caputira</t>
  </si>
  <si>
    <t>(31) 3875-1342</t>
  </si>
  <si>
    <t>CONTABILIDADEREIS01@HOTMAIL.COM</t>
  </si>
  <si>
    <t>SUPERMERCADO CENTRAL DE IÚNA - ES</t>
  </si>
  <si>
    <t>SUPERMERCADO MARTINS CENTRAL LTDA</t>
  </si>
  <si>
    <t>28.575.976/0001-01</t>
  </si>
  <si>
    <t>SUPERMERCADO CENTRAL ORIZANIA</t>
  </si>
  <si>
    <t>24.273.986/0002-12</t>
  </si>
  <si>
    <t>Orizânia</t>
  </si>
  <si>
    <t>SUPERMERCADO CENTRAL SAO DOMINGOS</t>
  </si>
  <si>
    <t>24.273.986/0004-84</t>
  </si>
  <si>
    <t>Santa Margarida</t>
  </si>
  <si>
    <t>REDECENTRAL@HOTMAIL.COM</t>
  </si>
  <si>
    <t>SUPERMERCADO CENTRAL SÃO JOÃO DO MANHUAÇU</t>
  </si>
  <si>
    <t>24.273.986/0003-01</t>
  </si>
  <si>
    <t>São João do Manhuaçu</t>
  </si>
  <si>
    <t>centralsupermercadossaojoao@gmail.com</t>
  </si>
  <si>
    <t>SUPERMERCADO DA VARG</t>
  </si>
  <si>
    <t>SUPERMERCADO DA VARGEM LTDA</t>
  </si>
  <si>
    <t>38.501.755/0001-42</t>
  </si>
  <si>
    <t>RIO PIRACICABA</t>
  </si>
  <si>
    <t>31 3854 1247</t>
  </si>
  <si>
    <t>supervargemnfe@yahoo.com.br</t>
  </si>
  <si>
    <t>SUPERMERCADO DEGRAU MELO VIANA</t>
  </si>
  <si>
    <t>02.912.729/0007-55</t>
  </si>
  <si>
    <t>CORONEL FABRICI</t>
  </si>
  <si>
    <t>31 3845 4075</t>
  </si>
  <si>
    <t>cobranca@brasilsupermercados.com.br</t>
  </si>
  <si>
    <t>SUPERMERCADO DO IRMA PRAÇA</t>
  </si>
  <si>
    <t>Supermercado do Irmão</t>
  </si>
  <si>
    <t>SUPERMERCADO DO IRMAO LTDA</t>
  </si>
  <si>
    <t>38.616.553/0004-99</t>
  </si>
  <si>
    <t>33 3322 4323</t>
  </si>
  <si>
    <t>danfe@superirmao.com.br</t>
  </si>
  <si>
    <t>SUPERMERCADO DO IRMA RAUL SOARES</t>
  </si>
  <si>
    <t>38.616.553/0006-50</t>
  </si>
  <si>
    <t>SUPERMERCADO DO IRMAO CATARINA CIMINI</t>
  </si>
  <si>
    <t>38.616.553/0001-46</t>
  </si>
  <si>
    <t>SUPERMERCADO DO IRMAO CD</t>
  </si>
  <si>
    <t>38.616.553/0005-70</t>
  </si>
  <si>
    <t>SUPERMERCADO DO IRMAO INHAPIM</t>
  </si>
  <si>
    <t>38.616.553/0007-31</t>
  </si>
  <si>
    <t>Inhapim</t>
  </si>
  <si>
    <t>77 3322 4323</t>
  </si>
  <si>
    <t>SUPERMERCADO DO IRMAO PIEDADE DE CARATINGA</t>
  </si>
  <si>
    <t>SUPERMERCADO DO IRMAO S.A.</t>
  </si>
  <si>
    <t>38.616.553/0008-12</t>
  </si>
  <si>
    <t>Piedade de Caratinga</t>
  </si>
  <si>
    <t>(33) 3322-7000</t>
  </si>
  <si>
    <t>CONTROLLER@CONTROLLER-MG.COM.BR</t>
  </si>
  <si>
    <t>SUPERMERCADO DO IRMÃO F1</t>
  </si>
  <si>
    <t>38.616.553/0002-27</t>
  </si>
  <si>
    <t>33 3322 2070</t>
  </si>
  <si>
    <t>SUPERMERCADO ECONOMICO PONTE DOS VOLANTES</t>
  </si>
  <si>
    <t>Econômico</t>
  </si>
  <si>
    <t>CENTRO DE DISTRIBUICAO VALE DO JEQUITINHONHA (CDVJ) LTDA</t>
  </si>
  <si>
    <t>02.638.171/0004-19</t>
  </si>
  <si>
    <t>PONTO DOS VOLANTES</t>
  </si>
  <si>
    <t>(33) 98707-2600</t>
  </si>
  <si>
    <t>SUPERMERCADOECONOMICOXML@HOTMAIL.COM</t>
  </si>
  <si>
    <t>SUPERMERCADO ECONÔMICO</t>
  </si>
  <si>
    <t>SUPERMERCADO VIEIRA E ECONOMICO LTDA</t>
  </si>
  <si>
    <t>02.638.171/0001-76</t>
  </si>
  <si>
    <t>Itaobim</t>
  </si>
  <si>
    <t>31 3734 2002</t>
  </si>
  <si>
    <t>supermercadoeconomicoxml@hotmail.com;economico.itaobim@yahoo.com.br</t>
  </si>
  <si>
    <t>SUPERMERCADO ENTRE RIOS</t>
  </si>
  <si>
    <t>00.658.483/0003-88</t>
  </si>
  <si>
    <t>SÃO PEDRO DOS FERROS</t>
  </si>
  <si>
    <t>(33) 3351-1579</t>
  </si>
  <si>
    <t>SUPERMERCADO ESQUINAO DO FRANGO</t>
  </si>
  <si>
    <t>SUPERMERCADO ESQUINAO DO FRANGO LTDA</t>
  </si>
  <si>
    <t>22.714.540/0001-70</t>
  </si>
  <si>
    <t>(31) 99440-0671</t>
  </si>
  <si>
    <t>esquinaodofrango@gmail.com</t>
  </si>
  <si>
    <t>SUPERMERCADO LESTE DE MINAS</t>
  </si>
  <si>
    <t>SUPERMERCADO LESTE DE MINAS LTDA</t>
  </si>
  <si>
    <t>19.217.304/0001-33</t>
  </si>
  <si>
    <t>PIEDADE DE CARATINGA</t>
  </si>
  <si>
    <t>(33) 3323-8036</t>
  </si>
  <si>
    <t>fiscal.superleste@gmail.com</t>
  </si>
  <si>
    <t>SUPERMERCADO MARQUES</t>
  </si>
  <si>
    <t>ORGANIZACOES MARQUES CENTER LTDA</t>
  </si>
  <si>
    <t>03.541.629/0001-37</t>
  </si>
  <si>
    <t>38 3531 9090</t>
  </si>
  <si>
    <t>marquescenterfiscal@gmail.com / 'marquescentercompras@gmail.com</t>
  </si>
  <si>
    <t>SUPERMERCADO MATEUS</t>
  </si>
  <si>
    <t>SUPERMERCADO FERREIRA E MATEUS EIRELI</t>
  </si>
  <si>
    <t>09.455.043/0001-36</t>
  </si>
  <si>
    <t>31 3826 1844</t>
  </si>
  <si>
    <t>supermercadomateus.xml@gmail.com</t>
  </si>
  <si>
    <t>SUPERMERCADO MATRIZ MARTINS E BARROS</t>
  </si>
  <si>
    <t>24.273.986/0001-31</t>
  </si>
  <si>
    <t>SUPERMERCADO MEGA POPULAR FILIAL</t>
  </si>
  <si>
    <t>Mega / Popular</t>
  </si>
  <si>
    <t>GILMAR ALVES - ME</t>
  </si>
  <si>
    <t>10.213.527/0002-39</t>
  </si>
  <si>
    <t>São Pedro dos Ferros</t>
  </si>
  <si>
    <t>33 3352 1856</t>
  </si>
  <si>
    <t>megapopularsaopedro@gmail.com</t>
  </si>
  <si>
    <t>SUPERMERCADO MEGA POPULAR MATRIZ</t>
  </si>
  <si>
    <t>10.213.527/0001-58</t>
  </si>
  <si>
    <t>33 3351 1128</t>
  </si>
  <si>
    <t>raulmixdistribuidora@gmail.com</t>
  </si>
  <si>
    <t>SUPERMERCADO MEGA POPULAR RAUL SOARES</t>
  </si>
  <si>
    <t>00.658.483/0006-20</t>
  </si>
  <si>
    <t>(33) 3351-1137</t>
  </si>
  <si>
    <t>SUPERMERCADO MEGA POPULAR RIO CASCA</t>
  </si>
  <si>
    <t>00.658.483/0004-69</t>
  </si>
  <si>
    <t>RIO CASCA</t>
  </si>
  <si>
    <t>ALMEIDA@SIGNET.COM.BR</t>
  </si>
  <si>
    <t>SUPERMERCADO MEGA POPULAR SAO PEDRO</t>
  </si>
  <si>
    <t>00.658.483/0005-40</t>
  </si>
  <si>
    <t>SUPERMERCADO MOREIRA</t>
  </si>
  <si>
    <t>COMERCIAL DE ALIMENTOS MM LTDA</t>
  </si>
  <si>
    <t>07.502.465/0001-90</t>
  </si>
  <si>
    <t>SANTANA DO PARA</t>
  </si>
  <si>
    <t>31 3251 6258</t>
  </si>
  <si>
    <t>secretaria@3mvrepresentacao.com</t>
  </si>
  <si>
    <t>SUPERMERCADO NANTES</t>
  </si>
  <si>
    <t>JVK SUPERMERCADO LTDA</t>
  </si>
  <si>
    <t>11.627.629/0001-82</t>
  </si>
  <si>
    <t>BELO ORIENTE</t>
  </si>
  <si>
    <t>31 3801 4200</t>
  </si>
  <si>
    <t>supermercadonantes@hotmail.com</t>
  </si>
  <si>
    <t>SUPERMERCADO NEYTON</t>
  </si>
  <si>
    <t>A N GARCIA</t>
  </si>
  <si>
    <t>07.319.811/0001-07</t>
  </si>
  <si>
    <t>VARGEM ALEGRE</t>
  </si>
  <si>
    <t>SUPERMERCADO NUNES</t>
  </si>
  <si>
    <t>JANSEN ATHOS DE P.NUNES LTDA</t>
  </si>
  <si>
    <t>52.573.969/0001-55</t>
  </si>
  <si>
    <t>SUPERMERCADO PEREIRA</t>
  </si>
  <si>
    <t>LUSMAR DE OLIVEIRA MACHADO</t>
  </si>
  <si>
    <t>71.241.251/0001-06</t>
  </si>
  <si>
    <t>Mutum</t>
  </si>
  <si>
    <t>(33) 3344-1346</t>
  </si>
  <si>
    <t>LAJINHA@ORTECONTE.COM.BR</t>
  </si>
  <si>
    <t>SUPERMERCADO PEREIRA &amp; FERREIRA</t>
  </si>
  <si>
    <t>SUPERMERCADO PEREIRA &amp; FERREIRA LTDA</t>
  </si>
  <si>
    <t>05.062.430/0001-51</t>
  </si>
  <si>
    <t>SÃO DOMINGOS DAS DORES</t>
  </si>
  <si>
    <t>(33) 3315-8072</t>
  </si>
  <si>
    <t>CARVALHOGOMESCONTABILIDADE@HOTMAIL.COM</t>
  </si>
  <si>
    <t>SUPERMERCADO PEREIRÃO</t>
  </si>
  <si>
    <t>WALTEIR ANTONIO PEREIRA</t>
  </si>
  <si>
    <t>25.583.642/0001-91</t>
  </si>
  <si>
    <t>(33) 3312-1407</t>
  </si>
  <si>
    <t>PEREIRAOSUPERMERCADO@YAHOO.COM.BR</t>
  </si>
  <si>
    <t>SUPERMERCADO RIO DOCE</t>
  </si>
  <si>
    <t>SUPERMERCADO LUIZ VIANA EIRELI</t>
  </si>
  <si>
    <t>06.052.747/0001-70</t>
  </si>
  <si>
    <t>(33) 3276-5015</t>
  </si>
  <si>
    <t>srd.carlos@hotmail.com</t>
  </si>
  <si>
    <t>Rio / Doce</t>
  </si>
  <si>
    <t>SUPERMERCADO RIO DOCE LTDA.</t>
  </si>
  <si>
    <t>03.348.897/0001-37</t>
  </si>
  <si>
    <t>(33) 3221-8700</t>
  </si>
  <si>
    <t>NFERDMATRIZ@HOTMAIL.COM</t>
  </si>
  <si>
    <t>SUPERMERCADO RIO DOCE LTDA. (Filial)</t>
  </si>
  <si>
    <t>03.348.897/0002-18</t>
  </si>
  <si>
    <t>(33) 3212-3522</t>
  </si>
  <si>
    <t>SUPERMERCADO SAO JOAO DE REALEZA</t>
  </si>
  <si>
    <t>18.861.682/0018-30</t>
  </si>
  <si>
    <t>SUPERMERCADO SOARES 01</t>
  </si>
  <si>
    <t>Soares</t>
  </si>
  <si>
    <t>COMERCIAL SOARES &amp; FREITAS LTDA</t>
  </si>
  <si>
    <t>42.793.042/0001-77</t>
  </si>
  <si>
    <t>33 3329 4800</t>
  </si>
  <si>
    <t>valeriag.lacerda@hotmail.com;nfesupersoares@hotmail.com</t>
  </si>
  <si>
    <t>SUPERMERCADO SOARES 02</t>
  </si>
  <si>
    <t>42.793.042/0005-09</t>
  </si>
  <si>
    <t>33 3321 2581</t>
  </si>
  <si>
    <t>SUPERMERCADO SÃO JOAO DE MATIPO</t>
  </si>
  <si>
    <t>18.861.682/0001-92</t>
  </si>
  <si>
    <t>SUPERMERCADO SÃO JOAO DE MUTUM</t>
  </si>
  <si>
    <t>18.861.682/0014-07</t>
  </si>
  <si>
    <t>31 3873 1407</t>
  </si>
  <si>
    <t>gardingo@gardingo.com.br;nfe@gardingo.com.br</t>
  </si>
  <si>
    <t>SUPERMERCADO VIDAL</t>
  </si>
  <si>
    <t>NORMA SANGLARD MALOSTO VIDAL LTDA</t>
  </si>
  <si>
    <t>41.932.260/0001-82</t>
  </si>
  <si>
    <t>SUPERMERCADOS SAO JOAO - STA MARARIDA LJ2</t>
  </si>
  <si>
    <t>18.861.682/0021-36</t>
  </si>
  <si>
    <t>(31) 99617-7590</t>
  </si>
  <si>
    <t>SUPERMERCADOS SAO JOAO ALTO CAPARAO</t>
  </si>
  <si>
    <t>18.861.682/0019-11</t>
  </si>
  <si>
    <t>ALTO CAPARAÓ</t>
  </si>
  <si>
    <t>SUPERMERCADOS SAO JOAO ALTO CAPARAO LJ2</t>
  </si>
  <si>
    <t>18.861.682/0020-55</t>
  </si>
  <si>
    <t>ONTABILIDADE@GARDINGO.COM.BR</t>
  </si>
  <si>
    <t>SUPERMERCADOS SAO JOAO GARDINGO</t>
  </si>
  <si>
    <t>18.861.682/0016-79</t>
  </si>
  <si>
    <t>18.861.682/0017-50</t>
  </si>
  <si>
    <t>Pedra Bonita</t>
  </si>
  <si>
    <t>ANDERSON@MATIPONET.COM.BR</t>
  </si>
  <si>
    <t>SUPERMERCADOS SAO JOAO GARDINGO PADRE FIALHO</t>
  </si>
  <si>
    <t>18.861.682/0015-98</t>
  </si>
  <si>
    <t>Matipó</t>
  </si>
  <si>
    <t>SUPERMINAS</t>
  </si>
  <si>
    <t>ORGANIZACOES SUPERMINAS LTDA</t>
  </si>
  <si>
    <t>04.425.884/0001-87</t>
  </si>
  <si>
    <t>(31) 3651-1055</t>
  </si>
  <si>
    <t>GERENCIAL@GTBIOS.COM.BR</t>
  </si>
  <si>
    <t>TAF DISTRIBUIDORA</t>
  </si>
  <si>
    <t>TAF DISTRIBUIDORA LTDA</t>
  </si>
  <si>
    <t>50.044.504/0001-81</t>
  </si>
  <si>
    <t>(31) 3822-3912</t>
  </si>
  <si>
    <t>AGILCONTA@YAHOO.COM.BR</t>
  </si>
  <si>
    <t>TAF INDUSTRIA E COME</t>
  </si>
  <si>
    <t>TAF INDUSTRIA E COMERCIO DE ALIMENTOS LTDA - ME</t>
  </si>
  <si>
    <t>24.071.630/0001-15</t>
  </si>
  <si>
    <t>31 3825 4704</t>
  </si>
  <si>
    <t>fabricadoacai@hotmail.com</t>
  </si>
  <si>
    <t>teo pao</t>
  </si>
  <si>
    <t>TEO PAO LTDA.</t>
  </si>
  <si>
    <t>30.102.212/0001-40</t>
  </si>
  <si>
    <t>(33) 3352-1107</t>
  </si>
  <si>
    <t>MARTIM_AFONSO@YAHOO.COM.BR</t>
  </si>
  <si>
    <t>TIA TECA CD LJ 01</t>
  </si>
  <si>
    <t>15.019.451/0001-48</t>
  </si>
  <si>
    <t>nfe@hipertiateca.com.br</t>
  </si>
  <si>
    <t>TIA TECA LJ 03</t>
  </si>
  <si>
    <t>15.019.451/0002-29</t>
  </si>
  <si>
    <t>33 3529 2601</t>
  </si>
  <si>
    <t>compras4@hipertiateca.com.br / compras4@hipertiateca.com.br</t>
  </si>
  <si>
    <t>TIA TECA LJ 04</t>
  </si>
  <si>
    <t>15.019.451/0006-52</t>
  </si>
  <si>
    <t>TO A TOA  ACAI LTDA</t>
  </si>
  <si>
    <t>TO A TOA ACAI LTDA</t>
  </si>
  <si>
    <t>16.659.456/0001-06</t>
  </si>
  <si>
    <t>33 99115 2506</t>
  </si>
  <si>
    <t>DINHO0769@HOTMAIL.COM</t>
  </si>
  <si>
    <t>TORRES COSMETICOS</t>
  </si>
  <si>
    <t>LEANDRA DE SOUZA TORRES MOREIRA</t>
  </si>
  <si>
    <t>34.863.174/0001-08</t>
  </si>
  <si>
    <t>São Mateus</t>
  </si>
  <si>
    <t>TRES MARIAS</t>
  </si>
  <si>
    <t>Xpga / Tres</t>
  </si>
  <si>
    <t>XPGA COMERCIAL LTDA</t>
  </si>
  <si>
    <t>17.517.236/0002-83</t>
  </si>
  <si>
    <t>Raul Soares</t>
  </si>
  <si>
    <t>(33) 3351-1319</t>
  </si>
  <si>
    <t>TRIBU AÇAI MONLEVADE</t>
  </si>
  <si>
    <t>KAIZ COMERCIO E PRODUTOS ALIMENTICIOS LTDA</t>
  </si>
  <si>
    <t>61.258.823/0001-06</t>
  </si>
  <si>
    <t>(31) 9645-5335</t>
  </si>
  <si>
    <t>ISISNUNES83@GMAIL.COM</t>
  </si>
  <si>
    <t>TRIGALHO</t>
  </si>
  <si>
    <t>DISTRIBUIDORA TRIGALHO LTDA</t>
  </si>
  <si>
    <t>07.984.506/0001-21</t>
  </si>
  <si>
    <t>Caatinga</t>
  </si>
  <si>
    <t>TUDO E FESTA</t>
  </si>
  <si>
    <t>TEF</t>
  </si>
  <si>
    <t>02.033.292/0001-94</t>
  </si>
  <si>
    <t>(31) 3617-7007</t>
  </si>
  <si>
    <t>tudoaquixml@hotmail.com</t>
  </si>
  <si>
    <t>TUTTI E BELA COSMETICOS</t>
  </si>
  <si>
    <t>TUTTI - BELLA COSMETICOS LTDA</t>
  </si>
  <si>
    <t>02.145.192/0001-50</t>
  </si>
  <si>
    <t>33 3421 3238</t>
  </si>
  <si>
    <t>tuttibellacosmeticos@yahoo.com.br</t>
  </si>
  <si>
    <t>UNIAO MARKEN SUPERME</t>
  </si>
  <si>
    <t>União Marken</t>
  </si>
  <si>
    <t>COMERCIAL MARKEN LTDA</t>
  </si>
  <si>
    <t>02.834.900/0004-02</t>
  </si>
  <si>
    <t>DIVINO DAS LARA</t>
  </si>
  <si>
    <t>33 3243 1118</t>
  </si>
  <si>
    <t>supermercadouniaodivino@yahoo.com.br</t>
  </si>
  <si>
    <t>02.834.900/0001-60</t>
  </si>
  <si>
    <t>MANTENA</t>
  </si>
  <si>
    <t>33 3241 2424</t>
  </si>
  <si>
    <t>uniao.nfe@bol.com.br</t>
  </si>
  <si>
    <t>SUPERMERCADO J E I LDA</t>
  </si>
  <si>
    <t>06.923.002/0001-39</t>
  </si>
  <si>
    <t>Central de Mina</t>
  </si>
  <si>
    <t>uniaocentraldeminas@hotmail.com</t>
  </si>
  <si>
    <t>SUPERMERCADO R E R LTDA</t>
  </si>
  <si>
    <t>01.789.293/0001-09</t>
  </si>
  <si>
    <t>33 3247 1013</t>
  </si>
  <si>
    <t>uniao1013@hotmail.com</t>
  </si>
  <si>
    <t>02.834.900/0003-21</t>
  </si>
  <si>
    <t>MENDES PIMENTEL</t>
  </si>
  <si>
    <t>33 3246 1206</t>
  </si>
  <si>
    <t>uniaomendes@hotmail.com</t>
  </si>
  <si>
    <t>02.834.900/0007-55</t>
  </si>
  <si>
    <t>SAO FELIX DE MI</t>
  </si>
  <si>
    <t>33 3246 9040</t>
  </si>
  <si>
    <t>comercialsaofelix@yahoo.com</t>
  </si>
  <si>
    <t>UVIVERSAL / TIA TECA</t>
  </si>
  <si>
    <t>SUPERMERCADO UNIVERSAL LTDA</t>
  </si>
  <si>
    <t>18.466.367/0001-60</t>
  </si>
  <si>
    <t>33 3521 4470</t>
  </si>
  <si>
    <t>compras3@hipertiateca.com.br</t>
  </si>
  <si>
    <t>VAIDOSA COSMETICOS IPANEMA</t>
  </si>
  <si>
    <t>VAIDOSA COSMETICOS IPANEMA LTDA</t>
  </si>
  <si>
    <t>14.692.629/0001-54</t>
  </si>
  <si>
    <t>(33) 3314-1177</t>
  </si>
  <si>
    <t>VAIDOSACOSMETICOSIPANEMA@GMAIL.COM</t>
  </si>
  <si>
    <t>VALE DO ACAI</t>
  </si>
  <si>
    <t>ALCILENE DA SILVA GUERRA 04596713677</t>
  </si>
  <si>
    <t>35.512.259/0001-04</t>
  </si>
  <si>
    <t>IPABA</t>
  </si>
  <si>
    <t>31 31 8761 4404</t>
  </si>
  <si>
    <t>guerraalcilene74@gmail.com</t>
  </si>
  <si>
    <t>VALE DO ACO COMERCIO DE CESTAS BASICAS</t>
  </si>
  <si>
    <t>Cesta Basica</t>
  </si>
  <si>
    <t>VALE DO ACO COMERCIO DE CESTAS BASICAS LTDA</t>
  </si>
  <si>
    <t>15.267.695/0001-40</t>
  </si>
  <si>
    <t>(31) 3841-3620</t>
  </si>
  <si>
    <t>V.ACESTASBASICA@HOTMAIL.COM</t>
  </si>
  <si>
    <t>VALE MAIS</t>
  </si>
  <si>
    <t>VALE MAIS DISTRIBUIDORA DE PRODUTOS ALIMENTICIOS EIRELI</t>
  </si>
  <si>
    <t>08.280.292/0001-75</t>
  </si>
  <si>
    <t>fiscal@valemaislogistica.com.br</t>
  </si>
  <si>
    <t>VALENTE</t>
  </si>
  <si>
    <t>E.C.VALENTE &amp; CIA LTDA</t>
  </si>
  <si>
    <t>22.751.077/0001-36</t>
  </si>
  <si>
    <t>33 3241 2132</t>
  </si>
  <si>
    <t>grupovalente1@gmail.com</t>
  </si>
  <si>
    <t>VALMIR NUNER PEREIRA</t>
  </si>
  <si>
    <t>VALMIR NUNES PEREIRA</t>
  </si>
  <si>
    <t>05.342.585/0001-41</t>
  </si>
  <si>
    <t>33 98727 4602</t>
  </si>
  <si>
    <t>mimisulzp@gmail.com</t>
  </si>
  <si>
    <t>VAREJAO AVENIDA</t>
  </si>
  <si>
    <t>Varejão Avenida</t>
  </si>
  <si>
    <t>VAREJAO AVENIDA LIMITADA</t>
  </si>
  <si>
    <t>18.562.652/0001-85</t>
  </si>
  <si>
    <t>CAETE</t>
  </si>
  <si>
    <t>31 3651 7208</t>
  </si>
  <si>
    <t>xml.superavenida@gmail.com</t>
  </si>
  <si>
    <t>18.562.652/0007-70</t>
  </si>
  <si>
    <t>31 3651 7449</t>
  </si>
  <si>
    <t>VERDURAO DO VALE</t>
  </si>
  <si>
    <t>LL COMERCIAL EIRELI</t>
  </si>
  <si>
    <t>26.203.818/0001-03</t>
  </si>
  <si>
    <t>31 99451 4814</t>
  </si>
  <si>
    <t>comercial.llhortifruti@gmail.com</t>
  </si>
  <si>
    <t>VISUAL COSMETICOS</t>
  </si>
  <si>
    <t>BRUNO ERICK COSTA PEREIRA 70003131610</t>
  </si>
  <si>
    <t>29.220.536/0001-02</t>
  </si>
  <si>
    <t>(33) 3276-4348</t>
  </si>
  <si>
    <t>VISUALCOSMETICOSGV@HOTMAIL.COM</t>
  </si>
  <si>
    <t>VIVER BEM NUTRICAO</t>
  </si>
  <si>
    <t>VIVER BEM NUTRICAO LTDA</t>
  </si>
  <si>
    <t>05.200.718/0001-45</t>
  </si>
  <si>
    <t>31 3822 2198</t>
  </si>
  <si>
    <t>MARIANE@VIVERBEMLOJA.COM.BR</t>
  </si>
  <si>
    <t>W A RIBEIRO</t>
  </si>
  <si>
    <t>10.896.566/0001-05</t>
  </si>
  <si>
    <t>(31) 3851-6809</t>
  </si>
  <si>
    <t>WARIBEIROME@HOTMAIL.COM</t>
  </si>
  <si>
    <t>WATTS</t>
  </si>
  <si>
    <t>WATTS BELEZA &amp; LUZ LTDA</t>
  </si>
  <si>
    <t>07.795.968/0001-09</t>
  </si>
  <si>
    <t>(31) 3822-4028</t>
  </si>
  <si>
    <t>WCMREP@GMAIL.COM</t>
  </si>
  <si>
    <t>XPGA</t>
  </si>
  <si>
    <t>17.517.236/0001-00</t>
  </si>
  <si>
    <t>ZARB DISTRIBUIDORA</t>
  </si>
  <si>
    <t>ZARB DISTRIBUIDORA DO BRASIL LTDA</t>
  </si>
  <si>
    <t>07.790.729/0001-58</t>
  </si>
  <si>
    <t>(022) 3833-8200</t>
  </si>
  <si>
    <t>Cliente</t>
  </si>
  <si>
    <t>2023</t>
  </si>
  <si>
    <t>2024</t>
  </si>
  <si>
    <t>2025</t>
  </si>
  <si>
    <t>2026</t>
  </si>
  <si>
    <t>Total 4 anos</t>
  </si>
  <si>
    <t>% 24/23</t>
  </si>
  <si>
    <t>% 25/24</t>
  </si>
  <si>
    <t>% 26/25</t>
  </si>
  <si>
    <t>🆕 novo</t>
  </si>
  <si>
    <t>ATACAREJO SAMPAIO MANTENOPOLIS</t>
  </si>
  <si>
    <t>MAR VERMELHO</t>
  </si>
  <si>
    <t>Cargo / Função</t>
  </si>
  <si>
    <t>Telefone / Celular</t>
  </si>
  <si>
    <t>Setores</t>
  </si>
  <si>
    <t>Indústrias</t>
  </si>
  <si>
    <t>Clientes</t>
  </si>
  <si>
    <t>Yasmin</t>
  </si>
  <si>
    <t>(11) 99282-2460</t>
  </si>
  <si>
    <t>yasmin.cerqueira@brspices.com.br</t>
  </si>
  <si>
    <t>Heloísa</t>
  </si>
  <si>
    <t>(11) 98918-0943</t>
  </si>
  <si>
    <t>(11) 93908-3486</t>
  </si>
  <si>
    <t>Celia</t>
  </si>
  <si>
    <t>admvendas@brspices.com.br</t>
  </si>
  <si>
    <t>Icaro</t>
  </si>
  <si>
    <t>icaro.pereira@brspices.com.br</t>
  </si>
  <si>
    <t>(31) 99069-3741</t>
  </si>
  <si>
    <t>(54) 99222-4642</t>
  </si>
  <si>
    <t>Cristiane</t>
  </si>
  <si>
    <t> cristiane.pereira@famigliavalduga.com.br</t>
  </si>
  <si>
    <t>gesiane.morais@famigliavalduga.com.br</t>
  </si>
  <si>
    <t>(54) 2105-3122</t>
  </si>
  <si>
    <t>Gesiane</t>
  </si>
  <si>
    <t>Elisandra</t>
  </si>
  <si>
    <t>(54) 98128-5310</t>
  </si>
  <si>
    <t>elisandra.aimi@famigliavalduga.com.br</t>
  </si>
  <si>
    <t>Angela</t>
  </si>
  <si>
    <t>angela.guedes@famigliavalduga.com.br</t>
  </si>
  <si>
    <t>Oriane</t>
  </si>
  <si>
    <t>oriane.souza@condor.ind.br</t>
  </si>
  <si>
    <t>(47) 3631-2420</t>
  </si>
  <si>
    <t>Jennifer</t>
  </si>
  <si>
    <t>jennifer.weber@condor.ind.br</t>
  </si>
  <si>
    <t>0800 047 6767</t>
  </si>
  <si>
    <t>Rubens Spada</t>
  </si>
  <si>
    <t>(11) 97016-0425</t>
  </si>
  <si>
    <t>rubens.spada@condor.ind.br</t>
  </si>
  <si>
    <t xml:space="preserve">Claudineia </t>
  </si>
  <si>
    <t>claudineia.oracz@condor.ind.br</t>
  </si>
  <si>
    <t>(47) 99722-1421</t>
  </si>
  <si>
    <t>contasareceber@danacosmeticos.com.br</t>
  </si>
  <si>
    <t>(11) 3065-1569; (11) 2842-3245</t>
  </si>
  <si>
    <t>contasapagar@danacosmeticos.com.br</t>
  </si>
  <si>
    <t>(11) 2842-3262</t>
  </si>
  <si>
    <t>Carlos Andre</t>
  </si>
  <si>
    <t>Thiago</t>
  </si>
  <si>
    <t> thiago.souza@danacosmeticos.com.br</t>
  </si>
  <si>
    <t>(31) 98266-4293</t>
  </si>
  <si>
    <t>Bruno Zieri</t>
  </si>
  <si>
    <t>bruno.zieri@danacosmeticos.com.br</t>
  </si>
  <si>
    <t>(11) 94250-3042</t>
  </si>
  <si>
    <t>Rosana (Farma) ; Airton ( Atacado) ; Leonardo (Varejo)</t>
  </si>
  <si>
    <t>rosana.pereira@danacosmeticos.com.br ; airton.barboza@danacosmeticos.com.br; leonardo.Mesquita@danacosmeticos.com.br</t>
  </si>
  <si>
    <t>(11) 99559-5338 ; (11) 98188-0172; (31) 99678-4719</t>
  </si>
  <si>
    <t>Lais</t>
  </si>
  <si>
    <t>(11) 94250-2993</t>
  </si>
  <si>
    <t>lais.araujo@danacosmeticos.com.br</t>
  </si>
  <si>
    <t>Tiago Espires</t>
  </si>
  <si>
    <t>tiago.espires@danacosmeticos.com.br</t>
  </si>
  <si>
    <t>(11) 99560-0499</t>
  </si>
  <si>
    <t>Elisabete</t>
  </si>
  <si>
    <t> financeiro2@brcosmetic.com</t>
  </si>
  <si>
    <t>(11) 97454-1983</t>
  </si>
  <si>
    <t>Isabella Frediani</t>
  </si>
  <si>
    <t>(11) 91594-8226</t>
  </si>
  <si>
    <t>design.mkt@brcosmetic.com</t>
  </si>
  <si>
    <t>Morgana</t>
  </si>
  <si>
    <t>(11) 99835-2076</t>
  </si>
  <si>
    <t>comercial1@brcosmetic.com</t>
  </si>
  <si>
    <t>Mario</t>
  </si>
  <si>
    <t>(11) 97227-2772</t>
  </si>
  <si>
    <t> devolucao@brcosmetic.com</t>
  </si>
  <si>
    <t>Gabriel</t>
  </si>
  <si>
    <t>(11) 94110-6734</t>
  </si>
  <si>
    <t>Edilson</t>
  </si>
  <si>
    <t>financas@dicoserj.com.br</t>
  </si>
  <si>
    <t>Lucinea</t>
  </si>
  <si>
    <t>marketing1@kanitz1900.com.br;  marketing2@kanitz1900.com.br</t>
  </si>
  <si>
    <t>Marcelo</t>
  </si>
  <si>
    <t xml:space="preserve"> (21) 98212-7882</t>
  </si>
  <si>
    <t>marcelo@kanitz1900.com.br</t>
  </si>
  <si>
    <t>Anderson</t>
  </si>
  <si>
    <t>anderson@kanitz1900br.onmicrosoft.com</t>
  </si>
  <si>
    <t>(21) 97232-8314</t>
  </si>
  <si>
    <t>(21) 98212-7882</t>
  </si>
  <si>
    <t>Gisele</t>
  </si>
  <si>
    <t>financeiro@melbras.com.br</t>
  </si>
  <si>
    <t>(31) 99622-7104</t>
  </si>
  <si>
    <t>Leticia</t>
  </si>
  <si>
    <t>comercial3@melbras.com.br</t>
  </si>
  <si>
    <t>(31) 9704-3785</t>
  </si>
  <si>
    <t>Pablo</t>
  </si>
  <si>
    <t>pablo.marcio@melbras.com.br</t>
  </si>
  <si>
    <t>(31) 9987-4726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</si>
</sst>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0.0%"/>
  </numFmts>
  <fonts count="21" x14ac:knownFonts="1">
    <font>
      <sz val="11"/>
      <color theme="1"/>
      <name val="Calibri"/>
      <family val="2"/>
      <scheme val="minor"/>
    </font>
    <font>
      <b/>
      <sz val="22"/>
      <color rgb="FF0F4C81"/>
      <name val="Calibri"/>
      <family val="2"/>
    </font>
    <font>
      <i/>
      <sz val="12"/>
      <color rgb="FF475569"/>
      <name val="Calibri"/>
      <family val="2"/>
    </font>
    <font>
      <i/>
      <sz val="10"/>
      <color rgb="FF475569"/>
      <name val="Calibri"/>
      <family val="2"/>
    </font>
    <font>
      <b/>
      <sz val="22"/>
      <color rgb="FFFFFFFF"/>
      <name val="Calibri"/>
      <family val="2"/>
    </font>
    <font>
      <b/>
      <sz val="10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color rgb="FF0F4C81"/>
      <name val="Calibri"/>
      <family val="2"/>
    </font>
    <font>
      <b/>
      <sz val="12"/>
      <color rgb="FF0F4C81"/>
      <name val="Calibri"/>
      <family val="2"/>
    </font>
    <font>
      <b/>
      <sz val="11"/>
      <color rgb="FFFFFFFF"/>
      <name val="Calibri"/>
      <family val="2"/>
    </font>
    <font>
      <sz val="11"/>
      <color rgb="FF0F4C81"/>
      <name val="Calibri"/>
      <family val="2"/>
    </font>
    <font>
      <sz val="11"/>
      <color rgb="FF1F77D0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i/>
      <sz val="9"/>
      <color rgb="FF47556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16A34A"/>
      <name val="Calibri"/>
      <family val="2"/>
    </font>
    <font>
      <b/>
      <sz val="11"/>
      <color rgb="FFDC2626"/>
      <name val="Calibri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BEAFE"/>
        <bgColor rgb="FFDBEAFE"/>
      </patternFill>
    </fill>
    <fill>
      <patternFill patternType="solid">
        <fgColor rgb="FF1F77D0"/>
        <bgColor rgb="FF1F77D0"/>
      </patternFill>
    </fill>
    <fill>
      <patternFill patternType="solid">
        <fgColor rgb="FF16A34A"/>
        <bgColor rgb="FF16A34A"/>
      </patternFill>
    </fill>
    <fill>
      <patternFill patternType="solid">
        <fgColor rgb="FFF59E0B"/>
        <bgColor rgb="FFF59E0B"/>
      </patternFill>
    </fill>
    <fill>
      <patternFill patternType="solid">
        <fgColor rgb="FF7C3AED"/>
        <bgColor rgb="FF7C3AED"/>
      </patternFill>
    </fill>
    <fill>
      <patternFill patternType="solid">
        <fgColor rgb="FFFEF3C7"/>
        <bgColor rgb="FFFEF3C7"/>
      </patternFill>
    </fill>
    <fill>
      <patternFill patternType="solid">
        <fgColor rgb="FF64748B"/>
        <bgColor rgb="FF64748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F4C81"/>
        <bgColor rgb="FF0F4C81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67">
    <xf numFmtId="0" fontId="0" fillId="0" borderId="0" xfId="0"/>
    <xf numFmtId="0" fontId="0" fillId="2" borderId="0" xfId="0" applyFill="1"/>
    <xf numFmtId="0" fontId="7" fillId="0" borderId="0" xfId="0" applyFont="1" applyAlignment="1">
      <alignment horizontal="right" vertical="center"/>
    </xf>
    <xf numFmtId="0" fontId="7" fillId="2" borderId="1" xfId="0" applyFont="1" applyFill="1" applyBorder="1" applyAlignment="1">
      <alignment horizontal="left" vertical="center" indent="1"/>
    </xf>
    <xf numFmtId="0" fontId="7" fillId="7" borderId="1" xfId="0" applyFont="1" applyFill="1" applyBorder="1" applyAlignment="1">
      <alignment horizontal="left" vertical="center" indent="1"/>
    </xf>
    <xf numFmtId="0" fontId="16" fillId="11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0" fillId="9" borderId="0" xfId="0" applyFill="1"/>
    <xf numFmtId="0" fontId="0" fillId="7" borderId="0" xfId="0" applyFill="1"/>
    <xf numFmtId="0" fontId="16" fillId="11" borderId="1" xfId="0" applyFont="1" applyFill="1" applyBorder="1" applyAlignment="1">
      <alignment horizontal="center" vertical="center"/>
    </xf>
    <xf numFmtId="164" fontId="0" fillId="9" borderId="0" xfId="0" applyNumberFormat="1" applyFill="1"/>
    <xf numFmtId="164" fontId="17" fillId="9" borderId="0" xfId="0" applyNumberFormat="1" applyFont="1" applyFill="1"/>
    <xf numFmtId="0" fontId="18" fillId="9" borderId="0" xfId="0" applyFont="1" applyFill="1"/>
    <xf numFmtId="165" fontId="19" fillId="9" borderId="0" xfId="0" applyNumberFormat="1" applyFont="1" applyFill="1"/>
    <xf numFmtId="164" fontId="0" fillId="0" borderId="0" xfId="0" applyNumberFormat="1"/>
    <xf numFmtId="164" fontId="17" fillId="0" borderId="0" xfId="0" applyNumberFormat="1" applyFont="1"/>
    <xf numFmtId="165" fontId="18" fillId="0" borderId="0" xfId="0" applyNumberFormat="1" applyFont="1"/>
    <xf numFmtId="165" fontId="0" fillId="0" borderId="0" xfId="0" applyNumberFormat="1"/>
    <xf numFmtId="165" fontId="19" fillId="0" borderId="0" xfId="0" applyNumberFormat="1" applyFont="1"/>
    <xf numFmtId="165" fontId="18" fillId="9" borderId="0" xfId="0" applyNumberFormat="1" applyFont="1" applyFill="1"/>
    <xf numFmtId="165" fontId="0" fillId="9" borderId="0" xfId="0" applyNumberFormat="1" applyFill="1"/>
    <xf numFmtId="0" fontId="18" fillId="0" borderId="0" xfId="0" applyFont="1"/>
    <xf numFmtId="0" fontId="16" fillId="5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0" fillId="0" borderId="1" xfId="0" applyBorder="1"/>
    <xf numFmtId="0" fontId="6" fillId="3" borderId="0" xfId="0" applyFont="1" applyFill="1" applyAlignment="1">
      <alignment horizontal="center" vertical="center"/>
    </xf>
    <xf numFmtId="0" fontId="0" fillId="3" borderId="0" xfId="0" applyFill="1"/>
    <xf numFmtId="0" fontId="0" fillId="5" borderId="0" xfId="0" applyFill="1"/>
    <xf numFmtId="0" fontId="6" fillId="4" borderId="0" xfId="0" applyFont="1" applyFill="1" applyAlignment="1">
      <alignment horizontal="center" vertical="center"/>
    </xf>
    <xf numFmtId="0" fontId="0" fillId="4" borderId="0" xfId="0" applyFill="1"/>
    <xf numFmtId="0" fontId="11" fillId="9" borderId="1" xfId="0" applyFont="1" applyFill="1" applyBorder="1" applyAlignment="1">
      <alignment vertical="center" wrapText="1" indent="1"/>
    </xf>
    <xf numFmtId="0" fontId="0" fillId="0" borderId="0" xfId="0"/>
    <xf numFmtId="0" fontId="10" fillId="9" borderId="1" xfId="0" applyFont="1" applyFill="1" applyBorder="1" applyAlignment="1">
      <alignment vertical="center" indent="1"/>
    </xf>
    <xf numFmtId="0" fontId="14" fillId="9" borderId="1" xfId="0" applyFont="1" applyFill="1" applyBorder="1" applyAlignment="1">
      <alignment vertical="center" indent="1"/>
    </xf>
    <xf numFmtId="0" fontId="6" fillId="5" borderId="0" xfId="0" applyFont="1" applyFill="1" applyAlignment="1">
      <alignment horizontal="left" vertical="center" indent="1"/>
    </xf>
    <xf numFmtId="0" fontId="10" fillId="10" borderId="1" xfId="0" applyFont="1" applyFill="1" applyBorder="1" applyAlignment="1">
      <alignment vertical="center" indent="1"/>
    </xf>
    <xf numFmtId="0" fontId="6" fillId="11" borderId="0" xfId="0" applyFont="1" applyFill="1" applyAlignment="1">
      <alignment horizontal="left" vertical="center" indent="1"/>
    </xf>
    <xf numFmtId="0" fontId="0" fillId="11" borderId="0" xfId="0" applyFill="1"/>
    <xf numFmtId="0" fontId="11" fillId="10" borderId="1" xfId="0" applyFont="1" applyFill="1" applyBorder="1" applyAlignment="1">
      <alignment vertical="center" wrapText="1" indent="1"/>
    </xf>
    <xf numFmtId="0" fontId="13" fillId="7" borderId="1" xfId="0" applyFont="1" applyFill="1" applyBorder="1" applyAlignment="1">
      <alignment vertical="center" indent="1"/>
    </xf>
    <xf numFmtId="0" fontId="8" fillId="7" borderId="1" xfId="0" applyFont="1" applyFill="1" applyBorder="1" applyAlignment="1">
      <alignment vertical="center" indent="1"/>
    </xf>
    <xf numFmtId="0" fontId="3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6" borderId="0" xfId="0" applyFill="1"/>
    <xf numFmtId="0" fontId="12" fillId="7" borderId="1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3" fillId="0" borderId="0" xfId="0" applyFont="1"/>
    <xf numFmtId="0" fontId="15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left" vertical="center" indent="1"/>
    </xf>
    <xf numFmtId="0" fontId="6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20" fillId="7" borderId="0" xfId="1" applyFill="1"/>
    <xf numFmtId="0" fontId="0" fillId="0" borderId="0" xfId="0" applyAlignment="1">
      <alignment horizontal="center"/>
    </xf>
    <xf numFmtId="0" fontId="20" fillId="7" borderId="0" xfId="1" applyFill="1" applyAlignment="1">
      <alignment horizontal="center"/>
    </xf>
    <xf numFmtId="49" fontId="0" fillId="7" borderId="0" xfId="0" applyNumberFormat="1" applyFill="1" applyAlignment="1">
      <alignment horizontal="center"/>
    </xf>
    <xf numFmtId="0" fontId="9" fillId="5" borderId="1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095500" cy="9144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sapagar@danacosmeticos.com.br" TargetMode="External"/><Relationship Id="rId13" Type="http://schemas.openxmlformats.org/officeDocument/2006/relationships/hyperlink" Target="mailto:marketing1@kanitz1900.com.br" TargetMode="External"/><Relationship Id="rId3" Type="http://schemas.openxmlformats.org/officeDocument/2006/relationships/hyperlink" Target="mailto:oriane.souza@condor.ind.br" TargetMode="External"/><Relationship Id="rId7" Type="http://schemas.openxmlformats.org/officeDocument/2006/relationships/hyperlink" Target="mailto:claudineia.oracz@condor.ind.br" TargetMode="External"/><Relationship Id="rId12" Type="http://schemas.openxmlformats.org/officeDocument/2006/relationships/hyperlink" Target="mailto:financas@dicoserj.com.br" TargetMode="External"/><Relationship Id="rId2" Type="http://schemas.openxmlformats.org/officeDocument/2006/relationships/hyperlink" Target="mailto:angela.guedes@famigliavalduga.com.br" TargetMode="External"/><Relationship Id="rId16" Type="http://schemas.openxmlformats.org/officeDocument/2006/relationships/hyperlink" Target="mailto:marcelo@kanitz1900.com.br" TargetMode="External"/><Relationship Id="rId1" Type="http://schemas.openxmlformats.org/officeDocument/2006/relationships/hyperlink" Target="mailto:icaro.pereira@brspices.com.br" TargetMode="External"/><Relationship Id="rId6" Type="http://schemas.openxmlformats.org/officeDocument/2006/relationships/hyperlink" Target="mailto:claudineia.oracz@condor.ind.br" TargetMode="External"/><Relationship Id="rId11" Type="http://schemas.openxmlformats.org/officeDocument/2006/relationships/hyperlink" Target="mailto:comercial1@brcosmetic.com" TargetMode="External"/><Relationship Id="rId5" Type="http://schemas.openxmlformats.org/officeDocument/2006/relationships/hyperlink" Target="mailto:rubens.spada@condor.ind.br" TargetMode="External"/><Relationship Id="rId15" Type="http://schemas.openxmlformats.org/officeDocument/2006/relationships/hyperlink" Target="mailto:marcelo@kanitz1900.com.br" TargetMode="External"/><Relationship Id="rId10" Type="http://schemas.openxmlformats.org/officeDocument/2006/relationships/hyperlink" Target="mailto:tiago.espires@danacosmeticos.com.br" TargetMode="External"/><Relationship Id="rId4" Type="http://schemas.openxmlformats.org/officeDocument/2006/relationships/hyperlink" Target="mailto:jennifer.weber@condor.ind.br" TargetMode="External"/><Relationship Id="rId9" Type="http://schemas.openxmlformats.org/officeDocument/2006/relationships/hyperlink" Target="mailto:rosana.pereira@danacosmeticos.com.br%20;%20" TargetMode="External"/><Relationship Id="rId14" Type="http://schemas.openxmlformats.org/officeDocument/2006/relationships/hyperlink" Target="mailto:anderson@kanitz1900br.on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77D0"/>
  </sheetPr>
  <dimension ref="B2:J57"/>
  <sheetViews>
    <sheetView showGridLines="0" workbookViewId="0"/>
  </sheetViews>
  <sheetFormatPr defaultColWidth="8.85546875" defaultRowHeight="15" x14ac:dyDescent="0.25"/>
  <cols>
    <col min="1" max="1" width="2" customWidth="1"/>
    <col min="2" max="10" width="16" customWidth="1"/>
    <col min="11" max="11" width="2" customWidth="1"/>
  </cols>
  <sheetData>
    <row r="2" spans="2:10" x14ac:dyDescent="0.25">
      <c r="B2" s="1"/>
      <c r="C2" s="1"/>
      <c r="D2" s="1"/>
      <c r="E2" s="46" t="s">
        <v>0</v>
      </c>
      <c r="F2" s="31"/>
      <c r="G2" s="31"/>
      <c r="H2" s="31"/>
      <c r="I2" s="31"/>
      <c r="J2" s="31"/>
    </row>
    <row r="3" spans="2:10" x14ac:dyDescent="0.25">
      <c r="B3" s="1"/>
      <c r="C3" s="1"/>
      <c r="D3" s="1"/>
      <c r="E3" s="31"/>
      <c r="F3" s="31"/>
      <c r="G3" s="31"/>
      <c r="H3" s="31"/>
      <c r="I3" s="31"/>
      <c r="J3" s="31"/>
    </row>
    <row r="4" spans="2:10" x14ac:dyDescent="0.25">
      <c r="B4" s="1"/>
      <c r="C4" s="1"/>
      <c r="D4" s="1"/>
      <c r="E4" s="31"/>
      <c r="F4" s="31"/>
      <c r="G4" s="31"/>
      <c r="H4" s="31"/>
      <c r="I4" s="31"/>
      <c r="J4" s="31"/>
    </row>
    <row r="5" spans="2:10" x14ac:dyDescent="0.25">
      <c r="B5" s="1"/>
      <c r="C5" s="1"/>
      <c r="D5" s="1"/>
      <c r="E5" s="47" t="s">
        <v>1</v>
      </c>
      <c r="F5" s="31"/>
      <c r="G5" s="31"/>
      <c r="H5" s="31"/>
      <c r="I5" s="31"/>
      <c r="J5" s="31"/>
    </row>
    <row r="6" spans="2:10" x14ac:dyDescent="0.25">
      <c r="B6" s="1"/>
      <c r="C6" s="1"/>
      <c r="D6" s="1"/>
      <c r="E6" s="31"/>
      <c r="F6" s="31"/>
      <c r="G6" s="31"/>
      <c r="H6" s="31"/>
      <c r="I6" s="31"/>
      <c r="J6" s="31"/>
    </row>
    <row r="7" spans="2:10" x14ac:dyDescent="0.25">
      <c r="B7" s="41" t="s">
        <v>2</v>
      </c>
      <c r="C7" s="31"/>
      <c r="D7" s="31"/>
      <c r="E7" s="31"/>
      <c r="F7" s="31"/>
      <c r="G7" s="31"/>
      <c r="H7" s="31"/>
      <c r="I7" s="31"/>
      <c r="J7" s="31"/>
    </row>
    <row r="9" spans="2:10" ht="36" customHeight="1" x14ac:dyDescent="0.25">
      <c r="B9" s="43" t="s">
        <v>3</v>
      </c>
      <c r="C9" s="26"/>
      <c r="D9" s="44" t="s">
        <v>4</v>
      </c>
      <c r="E9" s="29"/>
      <c r="F9" s="45" t="s">
        <v>5</v>
      </c>
      <c r="G9" s="27"/>
      <c r="H9" s="48" t="s">
        <v>6</v>
      </c>
      <c r="I9" s="49"/>
    </row>
    <row r="10" spans="2:10" ht="21.95" customHeight="1" x14ac:dyDescent="0.25">
      <c r="B10" s="58" t="s">
        <v>7</v>
      </c>
      <c r="C10" s="26"/>
      <c r="D10" s="59" t="s">
        <v>8</v>
      </c>
      <c r="E10" s="29"/>
      <c r="F10" s="60" t="s">
        <v>9</v>
      </c>
      <c r="G10" s="27"/>
      <c r="H10" s="53" t="s">
        <v>10</v>
      </c>
      <c r="I10" s="49"/>
    </row>
    <row r="13" spans="2:10" ht="27.95" customHeight="1" x14ac:dyDescent="0.25">
      <c r="B13" s="56" t="s">
        <v>11</v>
      </c>
      <c r="C13" s="26"/>
      <c r="D13" s="26"/>
      <c r="E13" s="26"/>
      <c r="F13" s="26"/>
      <c r="G13" s="26"/>
      <c r="H13" s="26"/>
      <c r="I13" s="26"/>
      <c r="J13" s="26"/>
    </row>
    <row r="15" spans="2:10" ht="27.95" customHeight="1" x14ac:dyDescent="0.25">
      <c r="B15" s="2" t="s">
        <v>12</v>
      </c>
      <c r="C15" s="40"/>
      <c r="D15" s="31"/>
      <c r="E15" s="31"/>
      <c r="F15" s="31"/>
      <c r="G15" s="31"/>
      <c r="H15" s="31"/>
      <c r="I15" s="52" t="str">
        <f>HYPERLINK("#'Capa - Dashboard'!C15","🗑  Limpar (clique e tecle Delete)")</f>
        <v>🗑  Limpar (clique e tecle Delete)</v>
      </c>
      <c r="J15" s="31"/>
    </row>
    <row r="16" spans="2:10" ht="6" customHeight="1" x14ac:dyDescent="0.25"/>
    <row r="17" spans="2:10" ht="18" customHeight="1" x14ac:dyDescent="0.25">
      <c r="B17" s="54" t="s">
        <v>13</v>
      </c>
      <c r="C17" s="31"/>
      <c r="D17" s="31"/>
      <c r="E17" s="31"/>
      <c r="F17" s="31"/>
      <c r="G17" s="31"/>
      <c r="H17" s="31"/>
      <c r="I17" s="31"/>
      <c r="J17" s="31"/>
    </row>
    <row r="18" spans="2:10" ht="21.95" customHeight="1" x14ac:dyDescent="0.25">
      <c r="B18" s="42" t="s">
        <v>14</v>
      </c>
      <c r="C18" s="42" t="s">
        <v>15</v>
      </c>
      <c r="D18" s="26"/>
      <c r="E18" s="42" t="s">
        <v>16</v>
      </c>
      <c r="F18" s="26"/>
      <c r="G18" s="26"/>
      <c r="H18" s="42" t="s">
        <v>17</v>
      </c>
      <c r="I18" s="26"/>
      <c r="J18" s="26"/>
    </row>
    <row r="19" spans="2:10" ht="21.95" customHeight="1" x14ac:dyDescent="0.25">
      <c r="B19" s="3" t="s">
        <v>18</v>
      </c>
      <c r="C19" s="32" t="str">
        <f>IFERROR(IF(VLOOKUP($C$15,'CRM Indústrias'!$B:$XFD,MATCH("Financeiro — contato",'CRM Indústrias'!$B$1:$XFD$1,0),FALSE)=0,"",VLOOKUP($C$15,'CRM Indústrias'!$B:$XFD,MATCH("Financeiro — contato",'CRM Indústrias'!$B$1:$XFD$1,0),FALSE)),"")</f>
        <v/>
      </c>
      <c r="D19" s="31"/>
      <c r="E19" s="30" t="str">
        <f>IFERROR(IF(VLOOKUP($C$15,'CRM Indústrias'!$B:$XFD,MATCH("Financeiro — e-mail",'CRM Indústrias'!$B$1:$XFD$1,0),FALSE)=0,"",VLOOKUP($C$15,'CRM Indústrias'!$B:$XFD,MATCH("Financeiro — e-mail",'CRM Indústrias'!$B$1:$XFD$1,0),FALSE)),"")</f>
        <v/>
      </c>
      <c r="F19" s="31"/>
      <c r="G19" s="31"/>
      <c r="H19" s="32" t="str">
        <f>IFERROR(IF(VLOOKUP($C$15,'CRM Indústrias'!$B:$XFD,MATCH("Financeiro — telefone",'CRM Indústrias'!$B$1:$XFD$1,0),FALSE)=0,"",VLOOKUP($C$15,'CRM Indústrias'!$B:$XFD,MATCH("Financeiro — telefone",'CRM Indústrias'!$B$1:$XFD$1,0),FALSE)),"")</f>
        <v/>
      </c>
      <c r="I19" s="31"/>
      <c r="J19" s="31"/>
    </row>
    <row r="20" spans="2:10" ht="21.95" customHeight="1" x14ac:dyDescent="0.25">
      <c r="B20" s="3" t="s">
        <v>19</v>
      </c>
      <c r="C20" s="35" t="str">
        <f>IFERROR(IF(VLOOKUP($C$15,'CRM Indústrias'!$B:$XFD,MATCH("Contas a Pagar — contato",'CRM Indústrias'!$B$1:$XFD$1,0),FALSE)=0,"",VLOOKUP($C$15,'CRM Indústrias'!$B:$XFD,MATCH("Contas a Pagar — contato",'CRM Indústrias'!$B$1:$XFD$1,0),FALSE)),"")</f>
        <v/>
      </c>
      <c r="D20" s="31"/>
      <c r="E20" s="38" t="str">
        <f>IFERROR(IF(VLOOKUP($C$15,'CRM Indústrias'!$B:$XFD,MATCH("Contas a Pagar — e-mail",'CRM Indústrias'!$B$1:$XFD$1,0),FALSE)=0,"",VLOOKUP($C$15,'CRM Indústrias'!$B:$XFD,MATCH("Contas a Pagar — e-mail",'CRM Indústrias'!$B$1:$XFD$1,0),FALSE)),"")</f>
        <v/>
      </c>
      <c r="F20" s="31"/>
      <c r="G20" s="31"/>
      <c r="H20" s="35" t="str">
        <f>IFERROR(IF(VLOOKUP($C$15,'CRM Indústrias'!$B:$XFD,MATCH("Contas a Pagar — telefone",'CRM Indústrias'!$B$1:$XFD$1,0),FALSE)=0,"",VLOOKUP($C$15,'CRM Indústrias'!$B:$XFD,MATCH("Contas a Pagar — telefone",'CRM Indústrias'!$B$1:$XFD$1,0),FALSE)),"")</f>
        <v/>
      </c>
      <c r="I20" s="31"/>
      <c r="J20" s="31"/>
    </row>
    <row r="21" spans="2:10" ht="21.95" customHeight="1" x14ac:dyDescent="0.25">
      <c r="B21" s="3" t="s">
        <v>20</v>
      </c>
      <c r="C21" s="32" t="str">
        <f>IFERROR(IF(VLOOKUP($C$15,'CRM Indústrias'!$B:$XFD,MATCH("Contas a Receber — contato",'CRM Indústrias'!$B$1:$XFD$1,0),FALSE)=0,"",VLOOKUP($C$15,'CRM Indústrias'!$B:$XFD,MATCH("Contas a Receber — contato",'CRM Indústrias'!$B$1:$XFD$1,0),FALSE)),"")</f>
        <v/>
      </c>
      <c r="D21" s="31"/>
      <c r="E21" s="30" t="str">
        <f>IFERROR(IF(VLOOKUP($C$15,'CRM Indústrias'!$B:$XFD,MATCH("Contas a Receber — e-mail",'CRM Indústrias'!$B$1:$XFD$1,0),FALSE)=0,"",VLOOKUP($C$15,'CRM Indústrias'!$B:$XFD,MATCH("Contas a Receber — e-mail",'CRM Indústrias'!$B$1:$XFD$1,0),FALSE)),"")</f>
        <v/>
      </c>
      <c r="F21" s="31"/>
      <c r="G21" s="31"/>
      <c r="H21" s="32" t="str">
        <f>IFERROR(IF(VLOOKUP($C$15,'CRM Indústrias'!$B:$XFD,MATCH("Contas a Receber — telefone",'CRM Indústrias'!$B$1:$XFD$1,0),FALSE)=0,"",VLOOKUP($C$15,'CRM Indústrias'!$B:$XFD,MATCH("Contas a Receber — telefone",'CRM Indústrias'!$B$1:$XFD$1,0),FALSE)),"")</f>
        <v/>
      </c>
      <c r="I21" s="31"/>
      <c r="J21" s="31"/>
    </row>
    <row r="22" spans="2:10" ht="21.95" customHeight="1" x14ac:dyDescent="0.25">
      <c r="B22" s="3" t="s">
        <v>21</v>
      </c>
      <c r="C22" s="35" t="str">
        <f>IFERROR(IF(VLOOKUP($C$15,'CRM Indústrias'!$B:$XFD,MATCH("Marketing — contato",'CRM Indústrias'!$B$1:$XFD$1,0),FALSE)=0,"",VLOOKUP($C$15,'CRM Indústrias'!$B:$XFD,MATCH("Marketing — contato",'CRM Indústrias'!$B$1:$XFD$1,0),FALSE)),"")</f>
        <v/>
      </c>
      <c r="D22" s="31"/>
      <c r="E22" s="38" t="str">
        <f>IFERROR(IF(VLOOKUP($C$15,'CRM Indústrias'!$B:$XFD,MATCH("Marketing — e-mail",'CRM Indústrias'!$B$1:$XFD$1,0),FALSE)=0,"",VLOOKUP($C$15,'CRM Indústrias'!$B:$XFD,MATCH("Marketing — e-mail",'CRM Indústrias'!$B$1:$XFD$1,0),FALSE)),"")</f>
        <v/>
      </c>
      <c r="F22" s="31"/>
      <c r="G22" s="31"/>
      <c r="H22" s="35" t="str">
        <f>IFERROR(IF(VLOOKUP($C$15,'CRM Indústrias'!$B:$XFD,MATCH("Marketing — telefone",'CRM Indústrias'!$B$1:$XFD$1,0),FALSE)=0,"",VLOOKUP($C$15,'CRM Indústrias'!$B:$XFD,MATCH("Marketing — telefone",'CRM Indústrias'!$B$1:$XFD$1,0),FALSE)),"")</f>
        <v/>
      </c>
      <c r="I22" s="31"/>
      <c r="J22" s="31"/>
    </row>
    <row r="23" spans="2:10" ht="21.95" customHeight="1" x14ac:dyDescent="0.25">
      <c r="B23" s="3" t="s">
        <v>22</v>
      </c>
      <c r="C23" s="32" t="str">
        <f>IFERROR(IF(VLOOKUP($C$15,'CRM Indústrias'!$B:$XFD,MATCH("ADM — contato",'CRM Indústrias'!$B$1:$XFD$1,0),FALSE)=0,"",VLOOKUP($C$15,'CRM Indústrias'!$B:$XFD,MATCH("ADM — contato",'CRM Indústrias'!$B$1:$XFD$1,0),FALSE)),"")</f>
        <v/>
      </c>
      <c r="D23" s="31"/>
      <c r="E23" s="30" t="str">
        <f>IFERROR(IF(VLOOKUP($C$15,'CRM Indústrias'!$B:$XFD,MATCH("ADM — e-mail",'CRM Indústrias'!$B$1:$XFD$1,0),FALSE)=0,"",VLOOKUP($C$15,'CRM Indústrias'!$B:$XFD,MATCH("ADM — e-mail",'CRM Indústrias'!$B$1:$XFD$1,0),FALSE)),"")</f>
        <v/>
      </c>
      <c r="F23" s="31"/>
      <c r="G23" s="31"/>
      <c r="H23" s="32" t="str">
        <f>IFERROR(IF(VLOOKUP($C$15,'CRM Indústrias'!$B:$XFD,MATCH("ADM — telefone",'CRM Indústrias'!$B$1:$XFD$1,0),FALSE)=0,"",VLOOKUP($C$15,'CRM Indústrias'!$B:$XFD,MATCH("ADM — telefone",'CRM Indústrias'!$B$1:$XFD$1,0),FALSE)),"")</f>
        <v/>
      </c>
      <c r="I23" s="31"/>
      <c r="J23" s="31"/>
    </row>
    <row r="24" spans="2:10" ht="21.95" customHeight="1" x14ac:dyDescent="0.25">
      <c r="B24" s="3" t="s">
        <v>23</v>
      </c>
      <c r="C24" s="35" t="str">
        <f>IFERROR(IF(VLOOKUP($C$15,'CRM Indústrias'!$B:$XFD,MATCH("Gerência — contato",'CRM Indústrias'!$B$1:$XFD$1,0),FALSE)=0,"",VLOOKUP($C$15,'CRM Indústrias'!$B:$XFD,MATCH("Gerência — contato",'CRM Indústrias'!$B$1:$XFD$1,0),FALSE)),"")</f>
        <v/>
      </c>
      <c r="D24" s="31"/>
      <c r="E24" s="38" t="str">
        <f>IFERROR(IF(VLOOKUP($C$15,'CRM Indústrias'!$B:$XFD,MATCH("Gerência — e-mail",'CRM Indústrias'!$B$1:$XFD$1,0),FALSE)=0,"",VLOOKUP($C$15,'CRM Indústrias'!$B:$XFD,MATCH("Gerência — e-mail",'CRM Indústrias'!$B$1:$XFD$1,0),FALSE)),"")</f>
        <v/>
      </c>
      <c r="F24" s="31"/>
      <c r="G24" s="31"/>
      <c r="H24" s="35" t="str">
        <f>IFERROR(IF(VLOOKUP($C$15,'CRM Indústrias'!$B:$XFD,MATCH("Gerência — telefone",'CRM Indústrias'!$B$1:$XFD$1,0),FALSE)=0,"",VLOOKUP($C$15,'CRM Indústrias'!$B:$XFD,MATCH("Gerência — telefone",'CRM Indústrias'!$B$1:$XFD$1,0),FALSE)),"")</f>
        <v/>
      </c>
      <c r="I24" s="31"/>
      <c r="J24" s="31"/>
    </row>
    <row r="25" spans="2:10" ht="21.95" customHeight="1" x14ac:dyDescent="0.25">
      <c r="B25" s="3" t="s">
        <v>24</v>
      </c>
      <c r="C25" s="32" t="str">
        <f>IFERROR(IF(VLOOKUP($C$15,'CRM Indústrias'!$B:$XFD,MATCH("Supervisão — contato",'CRM Indústrias'!$B$1:$XFD$1,0),FALSE)=0,"",VLOOKUP($C$15,'CRM Indústrias'!$B:$XFD,MATCH("Supervisão — contato",'CRM Indústrias'!$B$1:$XFD$1,0),FALSE)),"")</f>
        <v/>
      </c>
      <c r="D25" s="31"/>
      <c r="E25" s="30" t="str">
        <f>IFERROR(IF(VLOOKUP($C$15,'CRM Indústrias'!$B:$XFD,MATCH("Supervisão — e-mail",'CRM Indústrias'!$B$1:$XFD$1,0),FALSE)=0,"",VLOOKUP($C$15,'CRM Indústrias'!$B:$XFD,MATCH("Supervisão — e-mail",'CRM Indústrias'!$B$1:$XFD$1,0),FALSE)),"")</f>
        <v/>
      </c>
      <c r="F25" s="31"/>
      <c r="G25" s="31"/>
      <c r="H25" s="32" t="str">
        <f>IFERROR(IF(VLOOKUP($C$15,'CRM Indústrias'!$B:$XFD,MATCH("Supervisão — telefone",'CRM Indústrias'!$B$1:$XFD$1,0),FALSE)=0,"",VLOOKUP($C$15,'CRM Indústrias'!$B:$XFD,MATCH("Supervisão — telefone",'CRM Indústrias'!$B$1:$XFD$1,0),FALSE)),"")</f>
        <v/>
      </c>
      <c r="I25" s="31"/>
      <c r="J25" s="31"/>
    </row>
    <row r="26" spans="2:10" ht="21.95" customHeight="1" x14ac:dyDescent="0.25">
      <c r="B26" s="3" t="s">
        <v>25</v>
      </c>
      <c r="C26" s="35" t="str">
        <f>IFERROR(IF(VLOOKUP($C$15,'CRM Indústrias'!$B:$XFD,MATCH("Trocas — contato",'CRM Indústrias'!$B$1:$XFD$1,0),FALSE)=0,"",VLOOKUP($C$15,'CRM Indústrias'!$B:$XFD,MATCH("Trocas — contato",'CRM Indústrias'!$B$1:$XFD$1,0),FALSE)),"")</f>
        <v/>
      </c>
      <c r="D26" s="31"/>
      <c r="E26" s="38" t="str">
        <f>IFERROR(IF(VLOOKUP($C$15,'CRM Indústrias'!$B:$XFD,MATCH("Trocas — e-mail",'CRM Indústrias'!$B$1:$XFD$1,0),FALSE)=0,"",VLOOKUP($C$15,'CRM Indústrias'!$B:$XFD,MATCH("Trocas — e-mail",'CRM Indústrias'!$B$1:$XFD$1,0),FALSE)),"")</f>
        <v/>
      </c>
      <c r="F26" s="31"/>
      <c r="G26" s="31"/>
      <c r="H26" s="35" t="str">
        <f>IFERROR(IF(VLOOKUP($C$15,'CRM Indústrias'!$B:$XFD,MATCH("Trocas — telefone",'CRM Indústrias'!$B$1:$XFD$1,0),FALSE)=0,"",VLOOKUP($C$15,'CRM Indústrias'!$B:$XFD,MATCH("Trocas — telefone",'CRM Indústrias'!$B$1:$XFD$1,0),FALSE)),"")</f>
        <v/>
      </c>
      <c r="I26" s="31"/>
      <c r="J26" s="31"/>
    </row>
    <row r="27" spans="2:10" ht="21.95" customHeight="1" x14ac:dyDescent="0.25">
      <c r="B27" s="3" t="s">
        <v>26</v>
      </c>
      <c r="C27" s="32" t="str">
        <f>IFERROR(IF(VLOOKUP($C$15,'CRM Indústrias'!$B:$XFD,MATCH("NFD — contato",'CRM Indústrias'!$B$1:$XFD$1,0),FALSE)=0,"",VLOOKUP($C$15,'CRM Indústrias'!$B:$XFD,MATCH("NFD — contato",'CRM Indústrias'!$B$1:$XFD$1,0),FALSE)),"")</f>
        <v/>
      </c>
      <c r="D27" s="31"/>
      <c r="E27" s="30" t="str">
        <f>IFERROR(IF(VLOOKUP($C$15,'CRM Indústrias'!$B:$XFD,MATCH("NFD — e-mail",'CRM Indústrias'!$B$1:$XFD$1,0),FALSE)=0,"",VLOOKUP($C$15,'CRM Indústrias'!$B:$XFD,MATCH("NFD — e-mail",'CRM Indústrias'!$B$1:$XFD$1,0),FALSE)),"")</f>
        <v/>
      </c>
      <c r="F27" s="31"/>
      <c r="G27" s="31"/>
      <c r="H27" s="32" t="str">
        <f>IFERROR(IF(VLOOKUP($C$15,'CRM Indústrias'!$B:$XFD,MATCH("NFD — telefone",'CRM Indústrias'!$B$1:$XFD$1,0),FALSE)=0,"",VLOOKUP($C$15,'CRM Indústrias'!$B:$XFD,MATCH("NFD — telefone",'CRM Indústrias'!$B$1:$XFD$1,0),FALSE)),"")</f>
        <v/>
      </c>
      <c r="I27" s="31"/>
      <c r="J27" s="31"/>
    </row>
    <row r="28" spans="2:10" ht="21.95" customHeight="1" x14ac:dyDescent="0.25">
      <c r="B28" s="3" t="s">
        <v>27</v>
      </c>
      <c r="C28" s="35" t="str">
        <f>IFERROR(IF(VLOOKUP($C$15,'CRM Indústrias'!$B:$XFD,MATCH("Encarte — contato",'CRM Indústrias'!$B$1:$XFD$1,0),FALSE)=0,"",VLOOKUP($C$15,'CRM Indústrias'!$B:$XFD,MATCH("Encarte — contato",'CRM Indústrias'!$B$1:$XFD$1,0),FALSE)),"")</f>
        <v/>
      </c>
      <c r="D28" s="31"/>
      <c r="E28" s="38" t="str">
        <f>IFERROR(IF(VLOOKUP($C$15,'CRM Indústrias'!$B:$XFD,MATCH("Encarte — e-mail",'CRM Indústrias'!$B$1:$XFD$1,0),FALSE)=0,"",VLOOKUP($C$15,'CRM Indústrias'!$B:$XFD,MATCH("Encarte — e-mail",'CRM Indústrias'!$B$1:$XFD$1,0),FALSE)),"")</f>
        <v/>
      </c>
      <c r="F28" s="31"/>
      <c r="G28" s="31"/>
      <c r="H28" s="35" t="str">
        <f>IFERROR(IF(VLOOKUP($C$15,'CRM Indústrias'!$B:$XFD,MATCH("Encarte — telefone",'CRM Indústrias'!$B$1:$XFD$1,0),FALSE)=0,"",VLOOKUP($C$15,'CRM Indústrias'!$B:$XFD,MATCH("Encarte — telefone",'CRM Indústrias'!$B$1:$XFD$1,0),FALSE)),"")</f>
        <v/>
      </c>
      <c r="I28" s="31"/>
      <c r="J28" s="31"/>
    </row>
    <row r="29" spans="2:10" ht="21.95" customHeight="1" x14ac:dyDescent="0.25">
      <c r="B29" s="4" t="s">
        <v>28</v>
      </c>
      <c r="C29" s="50" t="str">
        <f>IFERROR(IF(VLOOKUP($C$15,'CRM Indústrias'!$B:$XFD,MATCH("Lead time entrega (dias)",'CRM Indústrias'!$B$1:$XFD$1,0),FALSE)=0,"",VLOOKUP($C$15,'CRM Indústrias'!$B:$XFD,MATCH("Lead time entrega (dias)",'CRM Indústrias'!$B$1:$XFD$1,0),FALSE)),"")</f>
        <v/>
      </c>
      <c r="D29" s="31"/>
      <c r="E29" s="39" t="str">
        <f>IFERROR(IF(VLOOKUP($C$15,'CRM Indústrias'!$B:$XFD,MATCH("Observações",'CRM Indústrias'!$B$1:$XFD$1,0),FALSE)=0,"",VLOOKUP($C$15,'CRM Indústrias'!$B:$XFD,MATCH("Observações",'CRM Indústrias'!$B$1:$XFD$1,0),FALSE)),"")</f>
        <v/>
      </c>
      <c r="F29" s="31"/>
      <c r="G29" s="31"/>
      <c r="H29" s="31"/>
      <c r="I29" s="31"/>
      <c r="J29" s="31"/>
    </row>
    <row r="31" spans="2:10" ht="27.95" customHeight="1" x14ac:dyDescent="0.25">
      <c r="B31" s="34" t="s">
        <v>29</v>
      </c>
      <c r="C31" s="27"/>
      <c r="D31" s="27"/>
      <c r="E31" s="27"/>
      <c r="F31" s="27"/>
      <c r="G31" s="27"/>
      <c r="H31" s="27"/>
      <c r="I31" s="27"/>
      <c r="J31" s="27"/>
    </row>
    <row r="33" spans="2:10" ht="27.95" customHeight="1" x14ac:dyDescent="0.25">
      <c r="B33" s="2" t="s">
        <v>30</v>
      </c>
      <c r="C33" s="40"/>
      <c r="D33" s="31"/>
      <c r="E33" s="31"/>
      <c r="F33" s="31"/>
      <c r="G33" s="31"/>
      <c r="H33" s="31"/>
      <c r="I33" s="52" t="str">
        <f>HYPERLINK("#'Capa - Dashboard'!C33","🗑  Limpar (clique e tecle Delete)")</f>
        <v>🗑  Limpar (clique e tecle Delete)</v>
      </c>
      <c r="J33" s="31"/>
    </row>
    <row r="34" spans="2:10" ht="6" customHeight="1" x14ac:dyDescent="0.25"/>
    <row r="35" spans="2:10" ht="21.95" customHeight="1" x14ac:dyDescent="0.25">
      <c r="B35" s="2" t="s">
        <v>31</v>
      </c>
      <c r="C35" s="33" t="str">
        <f>IFERROR(IF(VLOOKUP($C$33,'Base de Clientes'!$B:$XFD,MATCH("Grupo/Rede",'Base de Clientes'!$B$1:$XFD$1,0),FALSE)=0,"",VLOOKUP($C$33,'Base de Clientes'!$B:$XFD,MATCH("Grupo/Rede",'Base de Clientes'!$B$1:$XFD$1,0),FALSE)),"")</f>
        <v/>
      </c>
      <c r="D35" s="31"/>
      <c r="E35" s="31"/>
      <c r="F35" s="31"/>
      <c r="G35" s="31"/>
      <c r="H35" s="31"/>
      <c r="I35" s="31"/>
      <c r="J35" s="31"/>
    </row>
    <row r="36" spans="2:10" ht="21.95" customHeight="1" x14ac:dyDescent="0.25">
      <c r="B36" s="2" t="s">
        <v>32</v>
      </c>
      <c r="C36" s="33" t="str">
        <f>IFERROR(IF(VLOOKUP($C$33,'Base de Clientes'!$B:$XFD,MATCH("Canal",'Base de Clientes'!$B$1:$XFD$1,0),FALSE)=0,"",VLOOKUP($C$33,'Base de Clientes'!$B:$XFD,MATCH("Canal",'Base de Clientes'!$B$1:$XFD$1,0),FALSE)),"")</f>
        <v/>
      </c>
      <c r="D36" s="31"/>
      <c r="E36" s="31"/>
      <c r="F36" s="31"/>
      <c r="G36" s="31"/>
      <c r="H36" s="31"/>
      <c r="I36" s="31"/>
      <c r="J36" s="31"/>
    </row>
    <row r="37" spans="2:10" ht="21.95" customHeight="1" x14ac:dyDescent="0.25">
      <c r="B37" s="2" t="s">
        <v>33</v>
      </c>
      <c r="C37" s="33" t="str">
        <f>IFERROR(IF(VLOOKUP($C$33,'Base de Clientes'!$B:$XFD,MATCH("Cidade",'Base de Clientes'!$B$1:$XFD$1,0),FALSE)=0,"",VLOOKUP($C$33,'Base de Clientes'!$B:$XFD,MATCH("Cidade",'Base de Clientes'!$B$1:$XFD$1,0),FALSE)),"")</f>
        <v/>
      </c>
      <c r="D37" s="31"/>
      <c r="E37" s="31"/>
      <c r="F37" s="31"/>
      <c r="G37" s="31"/>
      <c r="H37" s="31"/>
      <c r="I37" s="31"/>
      <c r="J37" s="31"/>
    </row>
    <row r="38" spans="2:10" ht="21.95" customHeight="1" x14ac:dyDescent="0.25">
      <c r="B38" s="2" t="s">
        <v>34</v>
      </c>
      <c r="C38" s="33" t="str">
        <f>IFERROR(IF(VLOOKUP($C$33,'Base de Clientes'!$B:$XFD,MATCH("UF",'Base de Clientes'!$B$1:$XFD$1,0),FALSE)=0,"",VLOOKUP($C$33,'Base de Clientes'!$B:$XFD,MATCH("UF",'Base de Clientes'!$B$1:$XFD$1,0),FALSE)),"")</f>
        <v/>
      </c>
      <c r="D38" s="31"/>
      <c r="E38" s="31"/>
      <c r="F38" s="31"/>
      <c r="G38" s="31"/>
      <c r="H38" s="31"/>
      <c r="I38" s="31"/>
      <c r="J38" s="31"/>
    </row>
    <row r="39" spans="2:10" ht="21.95" customHeight="1" x14ac:dyDescent="0.25">
      <c r="B39" s="2" t="s">
        <v>35</v>
      </c>
      <c r="C39" s="33" t="str">
        <f>IFERROR(IF(VLOOKUP($C$33,'Base de Clientes'!$B:$XFD,MATCH("Telefone",'Base de Clientes'!$B$1:$XFD$1,0),FALSE)=0,"",VLOOKUP($C$33,'Base de Clientes'!$B:$XFD,MATCH("Telefone",'Base de Clientes'!$B$1:$XFD$1,0),FALSE)),"")</f>
        <v/>
      </c>
      <c r="D39" s="31"/>
      <c r="E39" s="31"/>
      <c r="F39" s="31"/>
      <c r="G39" s="31"/>
      <c r="H39" s="31"/>
      <c r="I39" s="31"/>
      <c r="J39" s="31"/>
    </row>
    <row r="40" spans="2:10" ht="21.95" customHeight="1" x14ac:dyDescent="0.25">
      <c r="B40" s="2" t="s">
        <v>36</v>
      </c>
      <c r="C40" s="33" t="str">
        <f>IFERROR(IF(VLOOKUP($C$33,'Base de Clientes'!$B:$XFD,MATCH("Agendado entrega?",'Base de Clientes'!$B$1:$XFD$1,0),FALSE)=0,"",VLOOKUP($C$33,'Base de Clientes'!$B:$XFD,MATCH("Agendado entrega?",'Base de Clientes'!$B$1:$XFD$1,0),FALSE)),"")</f>
        <v/>
      </c>
      <c r="D40" s="31"/>
      <c r="E40" s="31"/>
      <c r="F40" s="31"/>
      <c r="G40" s="31"/>
      <c r="H40" s="31"/>
      <c r="I40" s="31"/>
      <c r="J40" s="31"/>
    </row>
    <row r="41" spans="2:10" ht="21.95" customHeight="1" x14ac:dyDescent="0.25">
      <c r="B41" s="2" t="s">
        <v>37</v>
      </c>
      <c r="C41" s="33" t="str">
        <f>IFERROR(IF(VLOOKUP($C$33,'Base de Clientes'!$B:$XFD,MATCH("Contato agendamento",'Base de Clientes'!$B$1:$XFD$1,0),FALSE)=0,"",VLOOKUP($C$33,'Base de Clientes'!$B:$XFD,MATCH("Contato agendamento",'Base de Clientes'!$B$1:$XFD$1,0),FALSE)),"")</f>
        <v/>
      </c>
      <c r="D41" s="31"/>
      <c r="E41" s="31"/>
      <c r="F41" s="31"/>
      <c r="G41" s="31"/>
      <c r="H41" s="31"/>
      <c r="I41" s="31"/>
      <c r="J41" s="31"/>
    </row>
    <row r="42" spans="2:10" ht="21.95" customHeight="1" x14ac:dyDescent="0.25">
      <c r="B42" s="2" t="s">
        <v>38</v>
      </c>
      <c r="C42" s="33" t="str">
        <f>IFERROR(IF(VLOOKUP($C$33,'Base de Clientes'!$B:$XFD,MATCH("E-mail agendamento",'Base de Clientes'!$B$1:$XFD$1,0),FALSE)=0,"",VLOOKUP($C$33,'Base de Clientes'!$B:$XFD,MATCH("E-mail agendamento",'Base de Clientes'!$B$1:$XFD$1,0),FALSE)),"")</f>
        <v/>
      </c>
      <c r="D42" s="31"/>
      <c r="E42" s="31"/>
      <c r="F42" s="31"/>
      <c r="G42" s="31"/>
      <c r="H42" s="31"/>
      <c r="I42" s="31"/>
      <c r="J42" s="31"/>
    </row>
    <row r="43" spans="2:10" ht="21.95" customHeight="1" x14ac:dyDescent="0.25">
      <c r="B43" s="2" t="s">
        <v>39</v>
      </c>
      <c r="C43" s="33" t="str">
        <f>IFERROR(IF(VLOOKUP($C$33,'Base de Clientes'!$B:$XFD,MATCH("Tel. agendamento",'Base de Clientes'!$B$1:$XFD$1,0),FALSE)=0,"",VLOOKUP($C$33,'Base de Clientes'!$B:$XFD,MATCH("Tel. agendamento",'Base de Clientes'!$B$1:$XFD$1,0),FALSE)),"")</f>
        <v/>
      </c>
      <c r="D43" s="31"/>
      <c r="E43" s="31"/>
      <c r="F43" s="31"/>
      <c r="G43" s="31"/>
      <c r="H43" s="31"/>
      <c r="I43" s="31"/>
      <c r="J43" s="31"/>
    </row>
    <row r="44" spans="2:10" ht="21.95" customHeight="1" x14ac:dyDescent="0.25">
      <c r="B44" s="2" t="s">
        <v>40</v>
      </c>
      <c r="C44" s="33" t="str">
        <f>IFERROR(IF(VLOOKUP($C$33,'Base de Clientes'!$B:$XFD,MATCH("Tel. logística",'Base de Clientes'!$B$1:$XFD$1,0),FALSE)=0,"",VLOOKUP($C$33,'Base de Clientes'!$B:$XFD,MATCH("Tel. logística",'Base de Clientes'!$B$1:$XFD$1,0),FALSE)),"")</f>
        <v/>
      </c>
      <c r="D44" s="31"/>
      <c r="E44" s="31"/>
      <c r="F44" s="31"/>
      <c r="G44" s="31"/>
      <c r="H44" s="31"/>
      <c r="I44" s="31"/>
      <c r="J44" s="31"/>
    </row>
    <row r="45" spans="2:10" ht="21.95" customHeight="1" x14ac:dyDescent="0.25">
      <c r="B45" s="2" t="s">
        <v>41</v>
      </c>
      <c r="C45" s="33" t="str">
        <f>IFERROR(IF(VLOOKUP($C$33,'Base de Clientes'!$B:$XFD,MATCH("Resp. logística",'Base de Clientes'!$B$1:$XFD$1,0),FALSE)=0,"",VLOOKUP($C$33,'Base de Clientes'!$B:$XFD,MATCH("Resp. logística",'Base de Clientes'!$B$1:$XFD$1,0),FALSE)),"")</f>
        <v/>
      </c>
      <c r="D45" s="31"/>
      <c r="E45" s="31"/>
      <c r="F45" s="31"/>
      <c r="G45" s="31"/>
      <c r="H45" s="31"/>
      <c r="I45" s="31"/>
      <c r="J45" s="31"/>
    </row>
    <row r="46" spans="2:10" ht="21.95" customHeight="1" x14ac:dyDescent="0.25">
      <c r="B46" s="2" t="s">
        <v>42</v>
      </c>
      <c r="C46" s="33" t="str">
        <f>IFERROR(IF(VLOOKUP($C$33,'Base de Clientes'!$B:$XFD,MATCH("Obs logística",'Base de Clientes'!$B$1:$XFD$1,0),FALSE)=0,"",VLOOKUP($C$33,'Base de Clientes'!$B:$XFD,MATCH("Obs logística",'Base de Clientes'!$B$1:$XFD$1,0),FALSE)),"")</f>
        <v/>
      </c>
      <c r="D46" s="31"/>
      <c r="E46" s="31"/>
      <c r="F46" s="31"/>
      <c r="G46" s="31"/>
      <c r="H46" s="31"/>
      <c r="I46" s="31"/>
      <c r="J46" s="31"/>
    </row>
    <row r="49" spans="2:10" ht="27.95" customHeight="1" x14ac:dyDescent="0.25">
      <c r="B49" s="28" t="str">
        <f>HYPERLINK("file:///Users/marcelorodrigues/Library/CloudStorage/GoogleDrive-marcelo%403mvrepresentacao.com/Meu%20Drive/3MV/CRM%203MV/_executaveis/Atualizar%20CRM.app","🍎  ATUALIZAR CRM (Mac)")</f>
        <v>🍎  ATUALIZAR CRM (Mac)</v>
      </c>
      <c r="C49" s="29"/>
      <c r="D49" s="29"/>
      <c r="E49" s="29"/>
      <c r="F49" s="29"/>
      <c r="G49" s="51" t="str">
        <f>HYPERLINK("file:///Users/marcelorodrigues/Library/CloudStorage/GoogleDrive-marcelo%403mvrepresentacao.com/Meu%20Drive/3MV/CRM%203MV/_executaveis/Atualizar%20CRM%203MV.bat","🪟  ATUALIZAR CRM (Windows)")</f>
        <v>🪟  ATUALIZAR CRM (Windows)</v>
      </c>
      <c r="H49" s="37"/>
      <c r="I49" s="37"/>
      <c r="J49" s="37"/>
    </row>
    <row r="50" spans="2:10" ht="21.95" customHeight="1" x14ac:dyDescent="0.25">
      <c r="B50" s="29"/>
      <c r="C50" s="29"/>
      <c r="D50" s="29"/>
      <c r="E50" s="29"/>
      <c r="F50" s="29"/>
      <c r="G50" s="37"/>
      <c r="H50" s="37"/>
      <c r="I50" s="37"/>
      <c r="J50" s="37"/>
    </row>
    <row r="52" spans="2:10" ht="27.95" customHeight="1" x14ac:dyDescent="0.25">
      <c r="B52" s="36" t="s">
        <v>43</v>
      </c>
      <c r="C52" s="37"/>
      <c r="D52" s="37"/>
      <c r="E52" s="37"/>
      <c r="F52" s="37"/>
      <c r="G52" s="37"/>
      <c r="H52" s="37"/>
      <c r="I52" s="37"/>
      <c r="J52" s="37"/>
    </row>
    <row r="54" spans="2:10" ht="32.1" customHeight="1" x14ac:dyDescent="0.25">
      <c r="B54" s="25" t="str">
        <f>HYPERLINK("#'CRM Indústrias'!A1","▶ CRM Indústrias")</f>
        <v>▶ CRM Indústrias</v>
      </c>
      <c r="C54" s="26"/>
      <c r="D54" s="26"/>
      <c r="E54" s="57" t="str">
        <f>HYPERLINK("#'Base de Clientes'!A1","▶ Base de Clientes")</f>
        <v>▶ Base de Clientes</v>
      </c>
      <c r="F54" s="27"/>
      <c r="G54" s="27"/>
      <c r="H54" s="28" t="str">
        <f>HYPERLINK("#'Evolução Anual'!A1","▶ Evolução Anual")</f>
        <v>▶ Evolução Anual</v>
      </c>
      <c r="I54" s="29"/>
      <c r="J54" s="29"/>
    </row>
    <row r="55" spans="2:10" ht="6" customHeight="1" x14ac:dyDescent="0.25">
      <c r="B55" s="26"/>
      <c r="C55" s="26"/>
      <c r="D55" s="26"/>
      <c r="E55" s="27"/>
      <c r="F55" s="27"/>
      <c r="G55" s="27"/>
      <c r="H55" s="29"/>
      <c r="I55" s="29"/>
      <c r="J55" s="29"/>
    </row>
    <row r="57" spans="2:10" ht="27.95" customHeight="1" x14ac:dyDescent="0.25">
      <c r="B57" s="55" t="s">
        <v>44</v>
      </c>
      <c r="C57" s="31"/>
      <c r="D57" s="31"/>
      <c r="E57" s="31"/>
      <c r="F57" s="31"/>
      <c r="G57" s="31"/>
      <c r="H57" s="31"/>
      <c r="I57" s="31"/>
      <c r="J57" s="31"/>
    </row>
  </sheetData>
  <mergeCells count="76">
    <mergeCell ref="B57:J57"/>
    <mergeCell ref="B13:J13"/>
    <mergeCell ref="C26:D26"/>
    <mergeCell ref="B55:D55"/>
    <mergeCell ref="E54:G54"/>
    <mergeCell ref="B18"/>
    <mergeCell ref="C21:D21"/>
    <mergeCell ref="C43:J43"/>
    <mergeCell ref="C27:D27"/>
    <mergeCell ref="I33:J33"/>
    <mergeCell ref="C46:J46"/>
    <mergeCell ref="E28:G28"/>
    <mergeCell ref="E19:G19"/>
    <mergeCell ref="C24:D24"/>
    <mergeCell ref="C45:J45"/>
    <mergeCell ref="C35:J35"/>
    <mergeCell ref="B49:F50"/>
    <mergeCell ref="C20:D20"/>
    <mergeCell ref="C29:D29"/>
    <mergeCell ref="H22:J22"/>
    <mergeCell ref="E27:G27"/>
    <mergeCell ref="C25:D25"/>
    <mergeCell ref="C44:J44"/>
    <mergeCell ref="C22:D22"/>
    <mergeCell ref="C41:J41"/>
    <mergeCell ref="C40:J40"/>
    <mergeCell ref="G49:J50"/>
    <mergeCell ref="C42:J42"/>
    <mergeCell ref="E2:J4"/>
    <mergeCell ref="H28:J28"/>
    <mergeCell ref="H27:J27"/>
    <mergeCell ref="E5:J6"/>
    <mergeCell ref="E26:G26"/>
    <mergeCell ref="E25:G25"/>
    <mergeCell ref="H24:J24"/>
    <mergeCell ref="H18:J18"/>
    <mergeCell ref="E22:G22"/>
    <mergeCell ref="H23:J23"/>
    <mergeCell ref="H9:I9"/>
    <mergeCell ref="H19:J19"/>
    <mergeCell ref="I15:J15"/>
    <mergeCell ref="H10:I10"/>
    <mergeCell ref="B17:J17"/>
    <mergeCell ref="B10:C10"/>
    <mergeCell ref="C15:H15"/>
    <mergeCell ref="H20:J20"/>
    <mergeCell ref="B7:J7"/>
    <mergeCell ref="E24:G24"/>
    <mergeCell ref="C33:H33"/>
    <mergeCell ref="C18:D18"/>
    <mergeCell ref="E18:G18"/>
    <mergeCell ref="H21:J21"/>
    <mergeCell ref="E21:G21"/>
    <mergeCell ref="B9:C9"/>
    <mergeCell ref="H26:J26"/>
    <mergeCell ref="D9:E9"/>
    <mergeCell ref="C23:D23"/>
    <mergeCell ref="F9:G9"/>
    <mergeCell ref="D10:E10"/>
    <mergeCell ref="F10:G10"/>
    <mergeCell ref="B54:D54"/>
    <mergeCell ref="E55:G55"/>
    <mergeCell ref="H54:J54"/>
    <mergeCell ref="E23:G23"/>
    <mergeCell ref="C19:D19"/>
    <mergeCell ref="C38:J38"/>
    <mergeCell ref="B31:J31"/>
    <mergeCell ref="H55:J55"/>
    <mergeCell ref="C28:D28"/>
    <mergeCell ref="H25:J25"/>
    <mergeCell ref="B52:J52"/>
    <mergeCell ref="E20:G20"/>
    <mergeCell ref="E29:J29"/>
    <mergeCell ref="C39:J39"/>
    <mergeCell ref="C36:J36"/>
    <mergeCell ref="C37:J37"/>
  </mergeCells>
  <dataValidations count="2">
    <dataValidation type="list" allowBlank="1" promptTitle="Indústria" prompt="Escolha (ou digite) o nome da indústria" sqref="C15" xr:uid="{00000000-0002-0000-0000-000000000000}">
      <formula1>lst_Industrias</formula1>
    </dataValidation>
    <dataValidation type="list" allowBlank="1" promptTitle="Cliente" prompt="Digite parte do nome ou clique na seta para escolher" sqref="C33" xr:uid="{00000000-0002-0000-0000-000001000000}">
      <formula1>lst_Clientes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77D0"/>
  </sheetPr>
  <dimension ref="A1:AK18"/>
  <sheetViews>
    <sheetView showGridLines="0" tabSelected="1" workbookViewId="0">
      <pane xSplit="2" ySplit="1" topLeftCell="AG2" activePane="bottomRight" state="frozen"/>
      <selection pane="topRight"/>
      <selection pane="bottomLeft"/>
      <selection pane="bottomRight" activeCell="X11" sqref="X11"/>
    </sheetView>
  </sheetViews>
  <sheetFormatPr defaultColWidth="8.85546875" defaultRowHeight="15" x14ac:dyDescent="0.25"/>
  <cols>
    <col min="1" max="1" width="6" customWidth="1"/>
    <col min="2" max="2" width="22" customWidth="1"/>
    <col min="3" max="3" width="36" customWidth="1"/>
    <col min="4" max="4" width="19" customWidth="1"/>
    <col min="5" max="5" width="12" customWidth="1"/>
    <col min="6" max="6" width="22" customWidth="1"/>
    <col min="7" max="7" width="39.140625" customWidth="1"/>
    <col min="8" max="8" width="27.5703125" bestFit="1" customWidth="1"/>
    <col min="9" max="9" width="22" customWidth="1"/>
    <col min="10" max="10" width="36.140625" bestFit="1" customWidth="1"/>
    <col min="11" max="11" width="16" customWidth="1"/>
    <col min="12" max="12" width="22" style="63" customWidth="1"/>
    <col min="13" max="13" width="39.5703125" style="63" bestFit="1" customWidth="1"/>
    <col min="14" max="14" width="27.7109375" style="63" bestFit="1" customWidth="1"/>
    <col min="15" max="15" width="22" customWidth="1"/>
    <col min="16" max="16" width="59.85546875" bestFit="1" customWidth="1"/>
    <col min="17" max="17" width="16" customWidth="1"/>
    <col min="18" max="18" width="22" style="63" customWidth="1"/>
    <col min="19" max="19" width="36.7109375" customWidth="1"/>
    <col min="20" max="20" width="16" style="63" customWidth="1"/>
    <col min="21" max="21" width="49.7109375" style="63" bestFit="1" customWidth="1"/>
    <col min="22" max="22" width="76.85546875" style="63" bestFit="1" customWidth="1"/>
    <col min="23" max="23" width="45.28515625" bestFit="1" customWidth="1"/>
    <col min="24" max="24" width="22" customWidth="1"/>
    <col min="25" max="25" width="28" customWidth="1"/>
    <col min="26" max="26" width="16" customWidth="1"/>
    <col min="27" max="27" width="22" customWidth="1"/>
    <col min="28" max="28" width="29.85546875" bestFit="1" customWidth="1"/>
    <col min="29" max="29" width="16" customWidth="1"/>
    <col min="30" max="30" width="22" customWidth="1"/>
    <col min="31" max="31" width="34.28515625" bestFit="1" customWidth="1"/>
    <col min="32" max="32" width="16" customWidth="1"/>
    <col min="33" max="33" width="22" customWidth="1"/>
    <col min="34" max="34" width="59.85546875" bestFit="1" customWidth="1"/>
    <col min="35" max="35" width="16" customWidth="1"/>
    <col min="36" max="36" width="11" customWidth="1"/>
    <col min="37" max="37" width="36" customWidth="1"/>
  </cols>
  <sheetData>
    <row r="1" spans="1:37" ht="50.1" customHeight="1" x14ac:dyDescent="0.25">
      <c r="A1" s="5" t="s">
        <v>45</v>
      </c>
      <c r="B1" s="5" t="s">
        <v>46</v>
      </c>
      <c r="C1" s="5" t="s">
        <v>47</v>
      </c>
      <c r="D1" s="5" t="s">
        <v>48</v>
      </c>
      <c r="E1" s="5" t="s">
        <v>49</v>
      </c>
      <c r="F1" s="6" t="s">
        <v>50</v>
      </c>
      <c r="G1" s="6" t="s">
        <v>51</v>
      </c>
      <c r="H1" s="6" t="s">
        <v>52</v>
      </c>
      <c r="I1" s="6" t="s">
        <v>53</v>
      </c>
      <c r="J1" s="6" t="s">
        <v>54</v>
      </c>
      <c r="K1" s="6" t="s">
        <v>55</v>
      </c>
      <c r="L1" s="6" t="s">
        <v>56</v>
      </c>
      <c r="M1" s="6" t="s">
        <v>57</v>
      </c>
      <c r="N1" s="6" t="s">
        <v>58</v>
      </c>
      <c r="O1" s="66" t="s">
        <v>59</v>
      </c>
      <c r="P1" s="6" t="s">
        <v>60</v>
      </c>
      <c r="Q1" s="6" t="s">
        <v>61</v>
      </c>
      <c r="R1" s="6" t="s">
        <v>62</v>
      </c>
      <c r="S1" s="6" t="s">
        <v>63</v>
      </c>
      <c r="T1" s="6" t="s">
        <v>64</v>
      </c>
      <c r="U1" s="6" t="s">
        <v>65</v>
      </c>
      <c r="V1" s="6" t="s">
        <v>66</v>
      </c>
      <c r="W1" s="6" t="s">
        <v>67</v>
      </c>
      <c r="X1" s="6" t="s">
        <v>68</v>
      </c>
      <c r="Y1" s="6" t="s">
        <v>69</v>
      </c>
      <c r="Z1" s="6" t="s">
        <v>70</v>
      </c>
      <c r="AA1" s="6" t="s">
        <v>71</v>
      </c>
      <c r="AB1" s="6" t="s">
        <v>72</v>
      </c>
      <c r="AC1" s="6" t="s">
        <v>73</v>
      </c>
      <c r="AD1" s="6" t="s">
        <v>74</v>
      </c>
      <c r="AE1" s="6" t="s">
        <v>75</v>
      </c>
      <c r="AF1" s="6" t="s">
        <v>76</v>
      </c>
      <c r="AG1" s="6" t="s">
        <v>77</v>
      </c>
      <c r="AH1" s="6" t="s">
        <v>78</v>
      </c>
      <c r="AI1" s="6" t="s">
        <v>79</v>
      </c>
      <c r="AJ1" s="6" t="s">
        <v>80</v>
      </c>
      <c r="AK1" s="6" t="s">
        <v>81</v>
      </c>
    </row>
    <row r="2" spans="1:37" x14ac:dyDescent="0.25">
      <c r="A2" s="7">
        <v>893</v>
      </c>
      <c r="B2" s="7" t="s">
        <v>82</v>
      </c>
      <c r="C2" s="7" t="s">
        <v>83</v>
      </c>
      <c r="D2" s="7" t="s">
        <v>84</v>
      </c>
      <c r="E2" s="7" t="s">
        <v>85</v>
      </c>
      <c r="F2" s="61" t="s">
        <v>2487</v>
      </c>
      <c r="G2" s="61" t="s">
        <v>2489</v>
      </c>
      <c r="H2" s="61" t="s">
        <v>2488</v>
      </c>
      <c r="I2" s="8"/>
      <c r="J2" s="8"/>
      <c r="K2" s="8"/>
      <c r="L2" s="61" t="s">
        <v>2493</v>
      </c>
      <c r="M2" s="61"/>
      <c r="N2" s="61" t="s">
        <v>2492</v>
      </c>
      <c r="O2" s="8"/>
      <c r="P2" s="8"/>
      <c r="Q2" s="8"/>
      <c r="R2" s="61" t="s">
        <v>2490</v>
      </c>
      <c r="S2" s="61" t="s">
        <v>2494</v>
      </c>
      <c r="T2" s="61" t="s">
        <v>2491</v>
      </c>
      <c r="U2" s="61" t="s">
        <v>2495</v>
      </c>
      <c r="V2" s="64" t="s">
        <v>2496</v>
      </c>
      <c r="W2" s="61" t="s">
        <v>2497</v>
      </c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1:37" x14ac:dyDescent="0.25">
      <c r="A3">
        <v>881</v>
      </c>
      <c r="B3" t="s">
        <v>86</v>
      </c>
      <c r="C3" t="s">
        <v>87</v>
      </c>
      <c r="D3" t="s">
        <v>88</v>
      </c>
      <c r="E3" t="s">
        <v>85</v>
      </c>
      <c r="F3" s="61" t="s">
        <v>2503</v>
      </c>
      <c r="G3" s="61" t="s">
        <v>2501</v>
      </c>
      <c r="H3" s="61" t="s">
        <v>2502</v>
      </c>
      <c r="I3" s="8"/>
      <c r="J3" s="8"/>
      <c r="K3" s="8"/>
      <c r="L3" s="61" t="s">
        <v>2499</v>
      </c>
      <c r="M3" s="61" t="s">
        <v>2500</v>
      </c>
      <c r="N3" s="61" t="s">
        <v>2498</v>
      </c>
      <c r="O3" s="8"/>
      <c r="P3" s="8"/>
      <c r="Q3" s="8"/>
      <c r="R3" s="61" t="s">
        <v>2504</v>
      </c>
      <c r="S3" s="61" t="s">
        <v>2506</v>
      </c>
      <c r="T3" s="61" t="s">
        <v>2505</v>
      </c>
      <c r="U3" s="61" t="s">
        <v>2507</v>
      </c>
      <c r="V3" s="64" t="s">
        <v>2508</v>
      </c>
      <c r="W3" s="61" t="s">
        <v>2505</v>
      </c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</row>
    <row r="4" spans="1:37" x14ac:dyDescent="0.25">
      <c r="A4" s="7">
        <v>70</v>
      </c>
      <c r="B4" s="7" t="s">
        <v>89</v>
      </c>
      <c r="C4" s="7" t="s">
        <v>90</v>
      </c>
      <c r="D4" s="7" t="s">
        <v>91</v>
      </c>
      <c r="E4" s="7" t="s">
        <v>85</v>
      </c>
      <c r="F4" s="61" t="s">
        <v>2509</v>
      </c>
      <c r="G4" s="64" t="s">
        <v>2510</v>
      </c>
      <c r="H4" s="61" t="s">
        <v>2511</v>
      </c>
      <c r="I4" s="8"/>
      <c r="J4" s="8"/>
      <c r="K4" s="8"/>
      <c r="L4" s="61"/>
      <c r="M4" s="61"/>
      <c r="N4" s="61"/>
      <c r="O4" s="8"/>
      <c r="P4" s="61"/>
      <c r="Q4" s="8"/>
      <c r="R4" s="61" t="s">
        <v>2512</v>
      </c>
      <c r="S4" s="64" t="s">
        <v>2513</v>
      </c>
      <c r="T4" s="65" t="s">
        <v>2514</v>
      </c>
      <c r="U4" s="61" t="s">
        <v>2515</v>
      </c>
      <c r="V4" s="64" t="s">
        <v>2517</v>
      </c>
      <c r="W4" s="61" t="s">
        <v>2516</v>
      </c>
      <c r="X4" s="8"/>
      <c r="Y4" s="8"/>
      <c r="Z4" s="8"/>
      <c r="AA4" s="61" t="s">
        <v>2518</v>
      </c>
      <c r="AB4" s="62" t="s">
        <v>2519</v>
      </c>
      <c r="AC4" s="8" t="s">
        <v>2520</v>
      </c>
      <c r="AD4" s="61" t="s">
        <v>2518</v>
      </c>
      <c r="AE4" s="64" t="s">
        <v>2519</v>
      </c>
      <c r="AF4" s="61" t="s">
        <v>2520</v>
      </c>
      <c r="AG4" s="8"/>
      <c r="AH4" s="8"/>
      <c r="AI4" s="8"/>
      <c r="AJ4" s="8"/>
      <c r="AK4" s="8"/>
    </row>
    <row r="5" spans="1:37" x14ac:dyDescent="0.25">
      <c r="A5">
        <v>62</v>
      </c>
      <c r="B5" t="s">
        <v>92</v>
      </c>
      <c r="C5" t="s">
        <v>93</v>
      </c>
      <c r="D5" t="s">
        <v>94</v>
      </c>
      <c r="E5" t="s">
        <v>85</v>
      </c>
      <c r="F5" s="61" t="s">
        <v>18</v>
      </c>
      <c r="G5" s="61" t="s">
        <v>2521</v>
      </c>
      <c r="H5" s="61" t="s">
        <v>2522</v>
      </c>
      <c r="I5" s="61" t="s">
        <v>2525</v>
      </c>
      <c r="J5" s="62" t="s">
        <v>2523</v>
      </c>
      <c r="K5" s="61" t="s">
        <v>2524</v>
      </c>
      <c r="L5" s="61" t="s">
        <v>18</v>
      </c>
      <c r="M5" s="61" t="s">
        <v>2521</v>
      </c>
      <c r="N5" s="61" t="s">
        <v>2522</v>
      </c>
      <c r="O5" s="61" t="s">
        <v>2538</v>
      </c>
      <c r="P5" s="64" t="s">
        <v>2539</v>
      </c>
      <c r="Q5" s="61" t="s">
        <v>2540</v>
      </c>
      <c r="R5" s="61" t="s">
        <v>2535</v>
      </c>
      <c r="S5" s="61" t="s">
        <v>2537</v>
      </c>
      <c r="T5" s="61" t="s">
        <v>2536</v>
      </c>
      <c r="U5" s="61" t="s">
        <v>2532</v>
      </c>
      <c r="V5" s="64" t="s">
        <v>2533</v>
      </c>
      <c r="W5" s="61" t="s">
        <v>2534</v>
      </c>
      <c r="X5" s="8"/>
      <c r="Y5" s="8"/>
      <c r="Z5" s="8"/>
      <c r="AA5" s="61" t="s">
        <v>2529</v>
      </c>
      <c r="AB5" s="8" t="s">
        <v>2530</v>
      </c>
      <c r="AC5" s="8" t="s">
        <v>2531</v>
      </c>
      <c r="AD5" s="61" t="s">
        <v>2529</v>
      </c>
      <c r="AE5" s="61" t="s">
        <v>2530</v>
      </c>
      <c r="AF5" s="61" t="s">
        <v>2531</v>
      </c>
      <c r="AG5" s="61" t="s">
        <v>2526</v>
      </c>
      <c r="AH5" s="61" t="s">
        <v>2527</v>
      </c>
      <c r="AI5" s="61" t="s">
        <v>2528</v>
      </c>
      <c r="AJ5" s="8"/>
      <c r="AK5" s="8"/>
    </row>
    <row r="6" spans="1:37" x14ac:dyDescent="0.25">
      <c r="A6" s="7">
        <v>886</v>
      </c>
      <c r="B6" s="7" t="s">
        <v>95</v>
      </c>
      <c r="C6" s="7" t="s">
        <v>96</v>
      </c>
      <c r="D6" s="7" t="s">
        <v>97</v>
      </c>
      <c r="E6" s="7" t="s">
        <v>85</v>
      </c>
      <c r="F6" s="61" t="s">
        <v>2503</v>
      </c>
      <c r="G6" s="61" t="s">
        <v>2501</v>
      </c>
      <c r="H6" s="61" t="s">
        <v>2502</v>
      </c>
      <c r="I6" s="8"/>
      <c r="J6" s="8"/>
      <c r="K6" s="8"/>
      <c r="L6" s="61" t="s">
        <v>2499</v>
      </c>
      <c r="M6" s="61" t="s">
        <v>2500</v>
      </c>
      <c r="N6" s="61" t="s">
        <v>2498</v>
      </c>
      <c r="O6" s="8"/>
      <c r="P6" s="8"/>
      <c r="Q6" s="8"/>
      <c r="R6" s="61" t="s">
        <v>2504</v>
      </c>
      <c r="S6" s="8" t="s">
        <v>2506</v>
      </c>
      <c r="T6" s="61" t="s">
        <v>2505</v>
      </c>
      <c r="U6" s="61" t="s">
        <v>2507</v>
      </c>
      <c r="V6" s="61" t="s">
        <v>2508</v>
      </c>
      <c r="W6" s="61" t="s">
        <v>2505</v>
      </c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</row>
    <row r="7" spans="1:37" x14ac:dyDescent="0.25">
      <c r="A7">
        <v>889</v>
      </c>
      <c r="B7" t="s">
        <v>98</v>
      </c>
      <c r="C7" t="s">
        <v>99</v>
      </c>
      <c r="D7" t="s">
        <v>100</v>
      </c>
      <c r="E7" t="s">
        <v>85</v>
      </c>
      <c r="F7" s="61" t="s">
        <v>2541</v>
      </c>
      <c r="G7" s="61" t="s">
        <v>2542</v>
      </c>
      <c r="H7" s="61" t="s">
        <v>2543</v>
      </c>
      <c r="I7" s="8"/>
      <c r="J7" s="8"/>
      <c r="K7" s="8"/>
      <c r="L7" s="61" t="s">
        <v>2541</v>
      </c>
      <c r="M7" s="61" t="s">
        <v>2542</v>
      </c>
      <c r="N7" s="61" t="s">
        <v>2543</v>
      </c>
      <c r="O7" s="61" t="s">
        <v>2544</v>
      </c>
      <c r="P7" s="61" t="s">
        <v>2546</v>
      </c>
      <c r="Q7" s="61" t="s">
        <v>2545</v>
      </c>
      <c r="R7" s="61" t="s">
        <v>2547</v>
      </c>
      <c r="S7" s="64" t="s">
        <v>2549</v>
      </c>
      <c r="T7" s="61" t="s">
        <v>2548</v>
      </c>
      <c r="U7" s="61"/>
      <c r="V7" s="61"/>
      <c r="W7" s="61"/>
      <c r="X7" s="61" t="s">
        <v>2550</v>
      </c>
      <c r="Y7" s="8"/>
      <c r="Z7" s="61" t="s">
        <v>2551</v>
      </c>
      <c r="AA7" s="61" t="s">
        <v>2553</v>
      </c>
      <c r="AB7" s="61" t="s">
        <v>2552</v>
      </c>
      <c r="AC7" s="8" t="s">
        <v>2554</v>
      </c>
      <c r="AD7" s="61" t="s">
        <v>2553</v>
      </c>
      <c r="AE7" s="61" t="s">
        <v>2552</v>
      </c>
      <c r="AF7" s="8" t="s">
        <v>2554</v>
      </c>
      <c r="AG7" s="61" t="s">
        <v>2544</v>
      </c>
      <c r="AH7" s="61" t="s">
        <v>2546</v>
      </c>
      <c r="AI7" s="61" t="s">
        <v>2545</v>
      </c>
      <c r="AJ7" s="8"/>
      <c r="AK7" s="8"/>
    </row>
    <row r="8" spans="1:37" x14ac:dyDescent="0.25">
      <c r="A8" s="7">
        <v>887</v>
      </c>
      <c r="B8" s="7" t="s">
        <v>101</v>
      </c>
      <c r="C8" s="7" t="s">
        <v>102</v>
      </c>
      <c r="D8" s="7" t="s">
        <v>103</v>
      </c>
      <c r="E8" s="7" t="s">
        <v>85</v>
      </c>
      <c r="F8" s="61" t="s">
        <v>2555</v>
      </c>
      <c r="G8" s="64" t="s">
        <v>2556</v>
      </c>
      <c r="H8" s="61"/>
      <c r="I8" s="8"/>
      <c r="J8" s="8"/>
      <c r="K8" s="8"/>
      <c r="L8" s="61" t="s">
        <v>2555</v>
      </c>
      <c r="M8" s="61" t="s">
        <v>2556</v>
      </c>
      <c r="N8" s="61"/>
      <c r="O8" s="61" t="s">
        <v>2557</v>
      </c>
      <c r="P8" s="64" t="s">
        <v>2558</v>
      </c>
      <c r="Q8" s="8"/>
      <c r="R8" s="61" t="s">
        <v>2559</v>
      </c>
      <c r="S8" s="61" t="s">
        <v>2561</v>
      </c>
      <c r="T8" s="61" t="s">
        <v>2560</v>
      </c>
      <c r="U8" s="61" t="s">
        <v>2562</v>
      </c>
      <c r="V8" s="64" t="s">
        <v>2563</v>
      </c>
      <c r="W8" s="61" t="s">
        <v>2564</v>
      </c>
      <c r="X8" s="8"/>
      <c r="Y8" s="8"/>
      <c r="Z8" s="8"/>
      <c r="AA8" s="61" t="s">
        <v>2559</v>
      </c>
      <c r="AB8" s="64" t="s">
        <v>2561</v>
      </c>
      <c r="AC8" s="8" t="s">
        <v>2565</v>
      </c>
      <c r="AD8" s="61" t="s">
        <v>2559</v>
      </c>
      <c r="AE8" s="64" t="s">
        <v>2561</v>
      </c>
      <c r="AF8" s="8" t="s">
        <v>2565</v>
      </c>
      <c r="AG8" s="8" t="s">
        <v>2557</v>
      </c>
      <c r="AH8" s="8" t="s">
        <v>2558</v>
      </c>
      <c r="AI8" s="8"/>
      <c r="AJ8" s="8"/>
      <c r="AK8" s="8"/>
    </row>
    <row r="9" spans="1:37" x14ac:dyDescent="0.25">
      <c r="A9">
        <v>880</v>
      </c>
      <c r="B9" t="s">
        <v>104</v>
      </c>
      <c r="C9" t="s">
        <v>105</v>
      </c>
      <c r="D9" t="s">
        <v>106</v>
      </c>
      <c r="E9" t="s">
        <v>85</v>
      </c>
      <c r="F9" s="61" t="s">
        <v>2503</v>
      </c>
      <c r="G9" s="61" t="s">
        <v>2501</v>
      </c>
      <c r="H9" s="61" t="s">
        <v>2502</v>
      </c>
      <c r="I9" s="8"/>
      <c r="J9" s="8"/>
      <c r="K9" s="8"/>
      <c r="L9" s="61" t="s">
        <v>2499</v>
      </c>
      <c r="M9" s="61" t="s">
        <v>2500</v>
      </c>
      <c r="N9" s="61" t="s">
        <v>2498</v>
      </c>
      <c r="O9" s="8"/>
      <c r="P9" s="8"/>
      <c r="Q9" s="8"/>
      <c r="R9" s="61" t="s">
        <v>2504</v>
      </c>
      <c r="S9" s="8" t="s">
        <v>2506</v>
      </c>
      <c r="T9" s="61" t="s">
        <v>2505</v>
      </c>
      <c r="U9" s="61" t="s">
        <v>2507</v>
      </c>
      <c r="V9" s="61" t="s">
        <v>2508</v>
      </c>
      <c r="W9" s="61" t="s">
        <v>2505</v>
      </c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</row>
    <row r="10" spans="1:37" x14ac:dyDescent="0.25">
      <c r="A10" s="7">
        <v>66</v>
      </c>
      <c r="B10" s="7" t="s">
        <v>107</v>
      </c>
      <c r="C10" s="7" t="s">
        <v>108</v>
      </c>
      <c r="D10" s="7" t="s">
        <v>109</v>
      </c>
      <c r="E10" s="7" t="s">
        <v>85</v>
      </c>
      <c r="F10" s="61"/>
      <c r="G10" s="8"/>
      <c r="H10" s="61"/>
      <c r="I10" s="8"/>
      <c r="J10" s="8"/>
      <c r="K10" s="8"/>
      <c r="L10" s="61"/>
      <c r="M10" s="61"/>
      <c r="N10" s="61"/>
      <c r="O10" s="8"/>
      <c r="P10" s="8"/>
      <c r="Q10" s="8"/>
      <c r="R10" s="61"/>
      <c r="S10" s="8"/>
      <c r="T10" s="61"/>
      <c r="U10" s="61"/>
      <c r="V10" s="61"/>
      <c r="W10" s="61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</row>
    <row r="11" spans="1:37" x14ac:dyDescent="0.25">
      <c r="A11">
        <v>656</v>
      </c>
      <c r="B11" t="s">
        <v>110</v>
      </c>
      <c r="C11" t="s">
        <v>111</v>
      </c>
      <c r="D11" t="s">
        <v>112</v>
      </c>
      <c r="E11" t="s">
        <v>85</v>
      </c>
      <c r="F11" s="61" t="s">
        <v>2566</v>
      </c>
      <c r="G11" s="61" t="s">
        <v>2567</v>
      </c>
      <c r="H11" s="61" t="s">
        <v>2568</v>
      </c>
      <c r="I11" s="8"/>
      <c r="J11" s="8"/>
      <c r="K11" s="8"/>
      <c r="L11" s="61" t="s">
        <v>2566</v>
      </c>
      <c r="M11" s="61" t="s">
        <v>2567</v>
      </c>
      <c r="N11" s="61" t="s">
        <v>2568</v>
      </c>
      <c r="O11" s="8"/>
      <c r="P11" s="8"/>
      <c r="Q11" s="8"/>
      <c r="R11" s="61" t="s">
        <v>2569</v>
      </c>
      <c r="S11" s="61" t="s">
        <v>2570</v>
      </c>
      <c r="T11" s="61" t="s">
        <v>2571</v>
      </c>
      <c r="U11" s="61" t="s">
        <v>2572</v>
      </c>
      <c r="V11" s="61" t="s">
        <v>2573</v>
      </c>
      <c r="W11" s="61" t="s">
        <v>2574</v>
      </c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</row>
    <row r="12" spans="1:37" x14ac:dyDescent="0.25">
      <c r="A12" s="7">
        <v>709</v>
      </c>
      <c r="B12" s="7" t="s">
        <v>113</v>
      </c>
      <c r="C12" s="7" t="s">
        <v>114</v>
      </c>
      <c r="D12" s="7" t="s">
        <v>115</v>
      </c>
      <c r="E12" s="7" t="s">
        <v>85</v>
      </c>
      <c r="F12" s="61"/>
      <c r="G12" s="8"/>
      <c r="H12" s="61"/>
      <c r="I12" s="8"/>
      <c r="J12" s="8"/>
      <c r="K12" s="8"/>
      <c r="L12" s="61"/>
      <c r="M12" s="61"/>
      <c r="N12" s="61"/>
      <c r="O12" s="8"/>
      <c r="P12" s="8"/>
      <c r="Q12" s="8"/>
      <c r="R12" s="61"/>
      <c r="S12" s="8"/>
      <c r="T12" s="61"/>
      <c r="U12" s="61"/>
      <c r="V12" s="61"/>
      <c r="W12" s="61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</row>
    <row r="13" spans="1:37" x14ac:dyDescent="0.25">
      <c r="A13">
        <v>63</v>
      </c>
      <c r="B13" t="s">
        <v>116</v>
      </c>
      <c r="C13" t="s">
        <v>117</v>
      </c>
      <c r="D13" t="s">
        <v>118</v>
      </c>
      <c r="E13" t="s">
        <v>85</v>
      </c>
      <c r="F13" s="61"/>
      <c r="G13" s="8"/>
      <c r="H13" s="61"/>
      <c r="I13" s="8"/>
      <c r="J13" s="8"/>
      <c r="K13" s="8"/>
      <c r="L13" s="61"/>
      <c r="M13" s="61"/>
      <c r="N13" s="61"/>
      <c r="O13" s="8"/>
      <c r="P13" s="8"/>
      <c r="Q13" s="8"/>
      <c r="R13" s="61"/>
      <c r="S13" s="8"/>
      <c r="T13" s="61"/>
      <c r="U13" s="61"/>
      <c r="V13" s="61"/>
      <c r="W13" s="61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</row>
    <row r="14" spans="1:37" x14ac:dyDescent="0.25">
      <c r="A14" s="7">
        <v>60</v>
      </c>
      <c r="B14" s="7" t="s">
        <v>119</v>
      </c>
      <c r="C14" s="7" t="s">
        <v>120</v>
      </c>
      <c r="D14" s="7" t="s">
        <v>121</v>
      </c>
      <c r="E14" s="7" t="s">
        <v>85</v>
      </c>
      <c r="F14" s="61"/>
      <c r="G14" s="8"/>
      <c r="H14" s="61"/>
      <c r="I14" s="8"/>
      <c r="J14" s="8"/>
      <c r="K14" s="8"/>
      <c r="L14" s="61"/>
      <c r="M14" s="61"/>
      <c r="N14" s="61"/>
      <c r="O14" s="8"/>
      <c r="P14" s="8"/>
      <c r="Q14" s="8"/>
      <c r="R14" s="61"/>
      <c r="S14" s="8"/>
      <c r="T14" s="61"/>
      <c r="U14" s="61"/>
      <c r="V14" s="61"/>
      <c r="W14" s="61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</row>
    <row r="15" spans="1:37" x14ac:dyDescent="0.25">
      <c r="A15">
        <v>869</v>
      </c>
      <c r="B15" t="s">
        <v>122</v>
      </c>
      <c r="C15" t="s">
        <v>123</v>
      </c>
      <c r="D15" t="s">
        <v>124</v>
      </c>
      <c r="E15" t="s">
        <v>85</v>
      </c>
      <c r="F15" s="61"/>
      <c r="G15" s="8"/>
      <c r="H15" s="61"/>
      <c r="I15" s="8"/>
      <c r="J15" s="8"/>
      <c r="K15" s="8"/>
      <c r="L15" s="61"/>
      <c r="M15" s="61"/>
      <c r="N15" s="61"/>
      <c r="O15" s="8"/>
      <c r="P15" s="8"/>
      <c r="Q15" s="8"/>
      <c r="R15" s="61"/>
      <c r="S15" s="8"/>
      <c r="T15" s="61"/>
      <c r="U15" s="61"/>
      <c r="V15" s="61"/>
      <c r="W15" s="61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</row>
    <row r="16" spans="1:37" x14ac:dyDescent="0.25">
      <c r="A16" s="7">
        <v>882</v>
      </c>
      <c r="B16" s="7" t="s">
        <v>125</v>
      </c>
      <c r="C16" s="7" t="s">
        <v>126</v>
      </c>
      <c r="D16" s="7" t="s">
        <v>127</v>
      </c>
      <c r="E16" s="7" t="s">
        <v>85</v>
      </c>
      <c r="F16" s="61" t="s">
        <v>2503</v>
      </c>
      <c r="G16" s="8" t="s">
        <v>2501</v>
      </c>
      <c r="H16" s="61" t="s">
        <v>2502</v>
      </c>
      <c r="I16" s="8"/>
      <c r="J16" s="8"/>
      <c r="K16" s="8"/>
      <c r="L16" s="61" t="s">
        <v>2499</v>
      </c>
      <c r="M16" s="61" t="s">
        <v>2500</v>
      </c>
      <c r="N16" s="61" t="s">
        <v>2498</v>
      </c>
      <c r="O16" s="8"/>
      <c r="P16" s="8"/>
      <c r="Q16" s="8"/>
      <c r="R16" s="61" t="s">
        <v>2504</v>
      </c>
      <c r="S16" s="8" t="s">
        <v>2506</v>
      </c>
      <c r="T16" s="61" t="s">
        <v>2505</v>
      </c>
      <c r="U16" s="61" t="s">
        <v>2507</v>
      </c>
      <c r="V16" s="61" t="s">
        <v>2508</v>
      </c>
      <c r="W16" s="61" t="s">
        <v>2505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</row>
    <row r="17" spans="23:23" x14ac:dyDescent="0.25">
      <c r="W17" s="63"/>
    </row>
    <row r="18" spans="23:23" x14ac:dyDescent="0.25">
      <c r="W18" s="63"/>
    </row>
  </sheetData>
  <autoFilter ref="A1:AK16" xr:uid="{00000000-0009-0000-0000-000001000000}"/>
  <hyperlinks>
    <hyperlink ref="V2" r:id="rId1" xr:uid="{13E70416-3F55-44A6-8866-03C5E7E39C64}"/>
    <hyperlink ref="V3" r:id="rId2" xr:uid="{BB83DA04-960E-4E2A-B6EB-3E81D2AE9B51}"/>
    <hyperlink ref="G4" r:id="rId3" xr:uid="{840D665C-D7D2-46FF-A5E0-E572E4CB82FD}"/>
    <hyperlink ref="S4" r:id="rId4" xr:uid="{9F639017-E83E-4C3E-8DFF-387E2B6494BE}"/>
    <hyperlink ref="V4" r:id="rId5" xr:uid="{40908AEC-F034-4C2A-BED9-C0605DD3F964}"/>
    <hyperlink ref="AB4" r:id="rId6" xr:uid="{D44AAECC-E3BF-4F2D-B98D-A0786359418D}"/>
    <hyperlink ref="AE4" r:id="rId7" xr:uid="{B8AA8B78-C81C-4D56-AD1B-A53C8AEE904B}"/>
    <hyperlink ref="J5" r:id="rId8" xr:uid="{4909A4A3-5EFC-437F-BF26-3FFB8FB187AD}"/>
    <hyperlink ref="V5" r:id="rId9" display="rosana.pereira@danacosmeticos.com.br ; " xr:uid="{03AD10AB-E6AE-4322-B4C2-50976BFCE393}"/>
    <hyperlink ref="P5" r:id="rId10" xr:uid="{D30521F0-09B5-4D85-9755-521124DC6340}"/>
    <hyperlink ref="S7" r:id="rId11" xr:uid="{1ACF19C7-6E78-4EF1-830D-19DE3CDDC5F7}"/>
    <hyperlink ref="G8" r:id="rId12" xr:uid="{CAE8206B-A398-4188-A687-9A57365894C2}"/>
    <hyperlink ref="P8" r:id="rId13" display="marketing1@kanitz1900.com.br" xr:uid="{57506E1D-C241-4C93-99AA-C007F2B981F2}"/>
    <hyperlink ref="V8" r:id="rId14" xr:uid="{9533B6F2-8FFD-4EF4-8186-5D0AFB3B87E6}"/>
    <hyperlink ref="AB8" r:id="rId15" xr:uid="{BEBA4765-33BA-4F90-9F3C-B28F5EC0910B}"/>
    <hyperlink ref="AE8" r:id="rId16" xr:uid="{9529DF42-E9C8-43E3-B21A-0F9C055A2C97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9E0B"/>
  </sheetPr>
  <dimension ref="A1:T503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8.85546875" defaultRowHeight="15" x14ac:dyDescent="0.25"/>
  <cols>
    <col min="1" max="1" width="8" customWidth="1"/>
    <col min="2" max="2" width="36" customWidth="1"/>
    <col min="3" max="3" width="22" customWidth="1"/>
    <col min="4" max="4" width="18" customWidth="1"/>
    <col min="5" max="5" width="36" customWidth="1"/>
    <col min="6" max="6" width="19" customWidth="1"/>
    <col min="7" max="7" width="22" customWidth="1"/>
    <col min="8" max="8" width="5" customWidth="1"/>
    <col min="9" max="9" width="16" customWidth="1"/>
    <col min="10" max="10" width="28" customWidth="1"/>
    <col min="11" max="11" width="7" customWidth="1"/>
    <col min="12" max="12" width="12" customWidth="1"/>
    <col min="13" max="13" width="18" customWidth="1"/>
    <col min="14" max="14" width="12" customWidth="1"/>
    <col min="15" max="15" width="28" customWidth="1"/>
    <col min="16" max="16" width="30" customWidth="1"/>
    <col min="17" max="18" width="18" customWidth="1"/>
    <col min="19" max="19" width="22" customWidth="1"/>
    <col min="20" max="20" width="36" customWidth="1"/>
  </cols>
  <sheetData>
    <row r="1" spans="1:20" ht="36" customHeight="1" x14ac:dyDescent="0.25">
      <c r="A1" s="5" t="s">
        <v>45</v>
      </c>
      <c r="B1" s="5" t="s">
        <v>128</v>
      </c>
      <c r="C1" s="5" t="s">
        <v>129</v>
      </c>
      <c r="D1" s="5" t="s">
        <v>130</v>
      </c>
      <c r="E1" s="5" t="s">
        <v>131</v>
      </c>
      <c r="F1" s="5" t="s">
        <v>48</v>
      </c>
      <c r="G1" s="5" t="s">
        <v>132</v>
      </c>
      <c r="H1" s="5" t="s">
        <v>133</v>
      </c>
      <c r="I1" s="5" t="s">
        <v>17</v>
      </c>
      <c r="J1" s="5" t="s">
        <v>16</v>
      </c>
      <c r="K1" s="5" t="s">
        <v>134</v>
      </c>
      <c r="L1" s="5" t="s">
        <v>135</v>
      </c>
      <c r="M1" s="5" t="s">
        <v>136</v>
      </c>
      <c r="N1" s="6" t="s">
        <v>137</v>
      </c>
      <c r="O1" s="6" t="s">
        <v>138</v>
      </c>
      <c r="P1" s="6" t="s">
        <v>139</v>
      </c>
      <c r="Q1" s="6" t="s">
        <v>140</v>
      </c>
      <c r="R1" s="6" t="s">
        <v>141</v>
      </c>
      <c r="S1" s="6" t="s">
        <v>142</v>
      </c>
      <c r="T1" s="6" t="s">
        <v>143</v>
      </c>
    </row>
    <row r="2" spans="1:20" x14ac:dyDescent="0.25">
      <c r="A2" s="7">
        <v>612</v>
      </c>
      <c r="B2" s="7" t="s">
        <v>144</v>
      </c>
      <c r="C2" s="7" t="s">
        <v>145</v>
      </c>
      <c r="D2" s="7" t="s">
        <v>146</v>
      </c>
      <c r="E2" s="7" t="s">
        <v>147</v>
      </c>
      <c r="F2" s="7" t="s">
        <v>148</v>
      </c>
      <c r="G2" s="7" t="s">
        <v>149</v>
      </c>
      <c r="H2" s="7" t="s">
        <v>150</v>
      </c>
      <c r="I2" s="7" t="s">
        <v>151</v>
      </c>
      <c r="J2" s="7" t="s">
        <v>152</v>
      </c>
      <c r="K2" s="7" t="s">
        <v>153</v>
      </c>
      <c r="L2" s="7" t="s">
        <v>154</v>
      </c>
      <c r="M2" s="7" t="s">
        <v>145</v>
      </c>
      <c r="N2" s="8"/>
      <c r="O2" s="8"/>
      <c r="P2" s="8"/>
      <c r="Q2" s="8"/>
      <c r="R2" s="8"/>
      <c r="S2" s="8"/>
      <c r="T2" s="8"/>
    </row>
    <row r="3" spans="1:20" x14ac:dyDescent="0.25">
      <c r="A3">
        <v>449</v>
      </c>
      <c r="B3" t="s">
        <v>155</v>
      </c>
      <c r="C3" t="s">
        <v>145</v>
      </c>
      <c r="D3" t="s">
        <v>156</v>
      </c>
      <c r="E3" t="s">
        <v>157</v>
      </c>
      <c r="F3" t="s">
        <v>158</v>
      </c>
      <c r="G3" t="s">
        <v>159</v>
      </c>
      <c r="H3" t="s">
        <v>150</v>
      </c>
      <c r="I3" t="s">
        <v>160</v>
      </c>
      <c r="J3" t="s">
        <v>161</v>
      </c>
      <c r="K3" t="s">
        <v>153</v>
      </c>
      <c r="L3" t="s">
        <v>85</v>
      </c>
      <c r="M3" t="s">
        <v>162</v>
      </c>
      <c r="N3" s="8"/>
      <c r="O3" s="8"/>
      <c r="P3" s="8"/>
      <c r="Q3" s="8"/>
      <c r="R3" s="8"/>
      <c r="S3" s="8"/>
      <c r="T3" s="8"/>
    </row>
    <row r="4" spans="1:20" x14ac:dyDescent="0.25">
      <c r="A4" s="7">
        <v>716</v>
      </c>
      <c r="B4" s="7" t="s">
        <v>163</v>
      </c>
      <c r="C4" s="7" t="s">
        <v>145</v>
      </c>
      <c r="D4" s="7" t="s">
        <v>146</v>
      </c>
      <c r="E4" s="7" t="s">
        <v>164</v>
      </c>
      <c r="F4" s="7" t="s">
        <v>165</v>
      </c>
      <c r="G4" s="7"/>
      <c r="H4" s="7" t="s">
        <v>150</v>
      </c>
      <c r="I4" s="7" t="s">
        <v>166</v>
      </c>
      <c r="J4" s="7" t="s">
        <v>167</v>
      </c>
      <c r="K4" s="7" t="s">
        <v>153</v>
      </c>
      <c r="L4" s="7" t="s">
        <v>154</v>
      </c>
      <c r="M4" s="7" t="s">
        <v>145</v>
      </c>
      <c r="N4" s="8"/>
      <c r="O4" s="8"/>
      <c r="P4" s="8"/>
      <c r="Q4" s="8"/>
      <c r="R4" s="8"/>
      <c r="S4" s="8"/>
      <c r="T4" s="8"/>
    </row>
    <row r="5" spans="1:20" x14ac:dyDescent="0.25">
      <c r="A5">
        <v>431</v>
      </c>
      <c r="B5" t="s">
        <v>168</v>
      </c>
      <c r="C5" t="s">
        <v>145</v>
      </c>
      <c r="D5" t="s">
        <v>146</v>
      </c>
      <c r="E5" t="s">
        <v>169</v>
      </c>
      <c r="F5" t="s">
        <v>170</v>
      </c>
      <c r="G5" t="s">
        <v>171</v>
      </c>
      <c r="H5" t="s">
        <v>150</v>
      </c>
      <c r="I5" t="s">
        <v>172</v>
      </c>
      <c r="J5" t="s">
        <v>173</v>
      </c>
      <c r="K5" t="s">
        <v>153</v>
      </c>
      <c r="L5" t="s">
        <v>85</v>
      </c>
      <c r="M5" t="s">
        <v>162</v>
      </c>
      <c r="N5" s="8"/>
      <c r="O5" s="8"/>
      <c r="P5" s="8"/>
      <c r="Q5" s="8"/>
      <c r="R5" s="8"/>
      <c r="S5" s="8"/>
      <c r="T5" s="8"/>
    </row>
    <row r="6" spans="1:20" x14ac:dyDescent="0.25">
      <c r="A6" s="7">
        <v>563</v>
      </c>
      <c r="B6" s="7" t="s">
        <v>174</v>
      </c>
      <c r="C6" s="7" t="s">
        <v>145</v>
      </c>
      <c r="D6" s="7" t="s">
        <v>146</v>
      </c>
      <c r="E6" s="7" t="s">
        <v>175</v>
      </c>
      <c r="F6" s="7" t="s">
        <v>176</v>
      </c>
      <c r="G6" s="7" t="s">
        <v>177</v>
      </c>
      <c r="H6" s="7" t="s">
        <v>150</v>
      </c>
      <c r="I6" s="7" t="s">
        <v>178</v>
      </c>
      <c r="J6" s="7" t="s">
        <v>179</v>
      </c>
      <c r="K6" s="7" t="s">
        <v>153</v>
      </c>
      <c r="L6" s="7" t="s">
        <v>154</v>
      </c>
      <c r="M6" s="7" t="s">
        <v>145</v>
      </c>
      <c r="N6" s="8"/>
      <c r="O6" s="8"/>
      <c r="P6" s="8"/>
      <c r="Q6" s="8"/>
      <c r="R6" s="8"/>
      <c r="S6" s="8"/>
      <c r="T6" s="8"/>
    </row>
    <row r="7" spans="1:20" x14ac:dyDescent="0.25">
      <c r="A7">
        <v>485</v>
      </c>
      <c r="B7" t="s">
        <v>180</v>
      </c>
      <c r="C7" t="s">
        <v>145</v>
      </c>
      <c r="D7" t="s">
        <v>146</v>
      </c>
      <c r="E7" t="s">
        <v>181</v>
      </c>
      <c r="F7" t="s">
        <v>182</v>
      </c>
      <c r="G7" t="s">
        <v>183</v>
      </c>
      <c r="H7" t="s">
        <v>150</v>
      </c>
      <c r="I7" t="s">
        <v>184</v>
      </c>
      <c r="J7" t="s">
        <v>185</v>
      </c>
      <c r="K7" t="s">
        <v>153</v>
      </c>
      <c r="L7" t="s">
        <v>154</v>
      </c>
      <c r="M7" t="s">
        <v>145</v>
      </c>
      <c r="N7" s="8"/>
      <c r="O7" s="8"/>
      <c r="P7" s="8"/>
      <c r="Q7" s="8"/>
      <c r="R7" s="8"/>
      <c r="S7" s="8"/>
      <c r="T7" s="8"/>
    </row>
    <row r="8" spans="1:20" x14ac:dyDescent="0.25">
      <c r="A8" s="7">
        <v>523</v>
      </c>
      <c r="B8" s="7" t="s">
        <v>180</v>
      </c>
      <c r="C8" s="7" t="s">
        <v>145</v>
      </c>
      <c r="D8" s="7" t="s">
        <v>146</v>
      </c>
      <c r="E8" s="7" t="s">
        <v>186</v>
      </c>
      <c r="F8" s="7" t="s">
        <v>187</v>
      </c>
      <c r="G8" s="7" t="s">
        <v>183</v>
      </c>
      <c r="H8" s="7" t="s">
        <v>150</v>
      </c>
      <c r="I8" s="7" t="s">
        <v>188</v>
      </c>
      <c r="J8" s="7" t="s">
        <v>189</v>
      </c>
      <c r="K8" s="7" t="s">
        <v>153</v>
      </c>
      <c r="L8" s="7" t="s">
        <v>154</v>
      </c>
      <c r="M8" s="7" t="s">
        <v>145</v>
      </c>
      <c r="N8" s="8"/>
      <c r="O8" s="8"/>
      <c r="P8" s="8"/>
      <c r="Q8" s="8"/>
      <c r="R8" s="8"/>
      <c r="S8" s="8"/>
      <c r="T8" s="8"/>
    </row>
    <row r="9" spans="1:20" x14ac:dyDescent="0.25">
      <c r="A9">
        <v>688</v>
      </c>
      <c r="B9" t="s">
        <v>190</v>
      </c>
      <c r="C9" t="s">
        <v>145</v>
      </c>
      <c r="D9" t="s">
        <v>146</v>
      </c>
      <c r="E9" t="s">
        <v>191</v>
      </c>
      <c r="F9" t="s">
        <v>192</v>
      </c>
      <c r="G9" t="s">
        <v>149</v>
      </c>
      <c r="H9" t="s">
        <v>150</v>
      </c>
      <c r="I9" t="s">
        <v>193</v>
      </c>
      <c r="J9" t="s">
        <v>194</v>
      </c>
      <c r="K9" t="s">
        <v>153</v>
      </c>
      <c r="L9" t="s">
        <v>154</v>
      </c>
      <c r="M9" t="s">
        <v>145</v>
      </c>
      <c r="N9" s="8"/>
      <c r="O9" s="8"/>
      <c r="P9" s="8"/>
      <c r="Q9" s="8"/>
      <c r="R9" s="8"/>
      <c r="S9" s="8"/>
      <c r="T9" s="8"/>
    </row>
    <row r="10" spans="1:20" x14ac:dyDescent="0.25">
      <c r="A10" s="7">
        <v>507</v>
      </c>
      <c r="B10" s="7" t="s">
        <v>195</v>
      </c>
      <c r="C10" s="7" t="s">
        <v>145</v>
      </c>
      <c r="D10" s="7" t="s">
        <v>146</v>
      </c>
      <c r="E10" s="7" t="s">
        <v>196</v>
      </c>
      <c r="F10" s="7" t="s">
        <v>197</v>
      </c>
      <c r="G10" s="7" t="s">
        <v>198</v>
      </c>
      <c r="H10" s="7" t="s">
        <v>150</v>
      </c>
      <c r="I10" s="7" t="s">
        <v>199</v>
      </c>
      <c r="J10" s="7" t="s">
        <v>200</v>
      </c>
      <c r="K10" s="7" t="s">
        <v>153</v>
      </c>
      <c r="L10" s="7" t="s">
        <v>154</v>
      </c>
      <c r="M10" s="7" t="s">
        <v>145</v>
      </c>
      <c r="N10" s="8"/>
      <c r="O10" s="8"/>
      <c r="P10" s="8"/>
      <c r="Q10" s="8"/>
      <c r="R10" s="8"/>
      <c r="S10" s="8"/>
      <c r="T10" s="8"/>
    </row>
    <row r="11" spans="1:20" x14ac:dyDescent="0.25">
      <c r="A11">
        <v>508</v>
      </c>
      <c r="B11" t="s">
        <v>201</v>
      </c>
      <c r="C11" t="s">
        <v>145</v>
      </c>
      <c r="D11" t="s">
        <v>146</v>
      </c>
      <c r="E11" t="s">
        <v>202</v>
      </c>
      <c r="F11" t="s">
        <v>203</v>
      </c>
      <c r="G11" t="s">
        <v>198</v>
      </c>
      <c r="H11" t="s">
        <v>150</v>
      </c>
      <c r="I11" t="s">
        <v>204</v>
      </c>
      <c r="J11" t="s">
        <v>205</v>
      </c>
      <c r="K11" t="s">
        <v>153</v>
      </c>
      <c r="L11" t="s">
        <v>85</v>
      </c>
      <c r="M11" t="s">
        <v>145</v>
      </c>
      <c r="N11" s="8"/>
      <c r="O11" s="8"/>
      <c r="P11" s="8"/>
      <c r="Q11" s="8"/>
      <c r="R11" s="8"/>
      <c r="S11" s="8"/>
      <c r="T11" s="8"/>
    </row>
    <row r="12" spans="1:20" x14ac:dyDescent="0.25">
      <c r="A12" s="7">
        <v>561</v>
      </c>
      <c r="B12" s="7" t="s">
        <v>206</v>
      </c>
      <c r="C12" s="7" t="s">
        <v>145</v>
      </c>
      <c r="D12" s="7" t="s">
        <v>146</v>
      </c>
      <c r="E12" s="7" t="s">
        <v>207</v>
      </c>
      <c r="F12" s="7" t="s">
        <v>208</v>
      </c>
      <c r="G12" s="7" t="s">
        <v>198</v>
      </c>
      <c r="H12" s="7" t="s">
        <v>150</v>
      </c>
      <c r="I12" s="7" t="s">
        <v>209</v>
      </c>
      <c r="J12" s="7" t="s">
        <v>210</v>
      </c>
      <c r="K12" s="7" t="s">
        <v>153</v>
      </c>
      <c r="L12" s="7" t="s">
        <v>85</v>
      </c>
      <c r="M12" s="7" t="s">
        <v>145</v>
      </c>
      <c r="N12" s="8"/>
      <c r="O12" s="8"/>
      <c r="P12" s="8"/>
      <c r="Q12" s="8"/>
      <c r="R12" s="8"/>
      <c r="S12" s="8"/>
      <c r="T12" s="8"/>
    </row>
    <row r="13" spans="1:20" x14ac:dyDescent="0.25">
      <c r="A13">
        <v>747</v>
      </c>
      <c r="B13" t="s">
        <v>211</v>
      </c>
      <c r="C13" t="s">
        <v>145</v>
      </c>
      <c r="D13" t="s">
        <v>145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K13" t="s">
        <v>153</v>
      </c>
      <c r="L13" t="s">
        <v>154</v>
      </c>
      <c r="M13" t="s">
        <v>162</v>
      </c>
      <c r="N13" s="8"/>
      <c r="O13" s="8"/>
      <c r="P13" s="8"/>
      <c r="Q13" s="8"/>
      <c r="R13" s="8"/>
      <c r="S13" s="8"/>
      <c r="T13" s="8"/>
    </row>
    <row r="14" spans="1:20" x14ac:dyDescent="0.25">
      <c r="A14" s="7">
        <v>533</v>
      </c>
      <c r="B14" s="7" t="s">
        <v>218</v>
      </c>
      <c r="C14" s="7" t="s">
        <v>145</v>
      </c>
      <c r="D14" s="7" t="s">
        <v>146</v>
      </c>
      <c r="E14" s="7" t="s">
        <v>219</v>
      </c>
      <c r="F14" s="7" t="s">
        <v>220</v>
      </c>
      <c r="G14" s="7" t="s">
        <v>221</v>
      </c>
      <c r="H14" s="7" t="s">
        <v>150</v>
      </c>
      <c r="I14" s="7" t="s">
        <v>222</v>
      </c>
      <c r="J14" s="7" t="s">
        <v>223</v>
      </c>
      <c r="K14" s="7" t="s">
        <v>153</v>
      </c>
      <c r="L14" s="7" t="s">
        <v>154</v>
      </c>
      <c r="M14" s="7" t="s">
        <v>162</v>
      </c>
      <c r="N14" s="8"/>
      <c r="O14" s="8"/>
      <c r="P14" s="8"/>
      <c r="Q14" s="8"/>
      <c r="R14" s="8"/>
      <c r="S14" s="8"/>
      <c r="T14" s="8"/>
    </row>
    <row r="15" spans="1:20" x14ac:dyDescent="0.25">
      <c r="A15">
        <v>652</v>
      </c>
      <c r="B15" t="s">
        <v>224</v>
      </c>
      <c r="C15" t="s">
        <v>145</v>
      </c>
      <c r="D15" t="s">
        <v>146</v>
      </c>
      <c r="E15" t="s">
        <v>225</v>
      </c>
      <c r="F15" t="s">
        <v>226</v>
      </c>
      <c r="G15" t="s">
        <v>159</v>
      </c>
      <c r="H15" t="s">
        <v>150</v>
      </c>
      <c r="I15" t="s">
        <v>227</v>
      </c>
      <c r="J15" t="s">
        <v>228</v>
      </c>
      <c r="K15" t="s">
        <v>153</v>
      </c>
      <c r="L15" t="s">
        <v>154</v>
      </c>
      <c r="M15" t="s">
        <v>162</v>
      </c>
      <c r="N15" s="8"/>
      <c r="O15" s="8"/>
      <c r="P15" s="8"/>
      <c r="Q15" s="8"/>
      <c r="R15" s="8"/>
      <c r="S15" s="8"/>
      <c r="T15" s="8"/>
    </row>
    <row r="16" spans="1:20" x14ac:dyDescent="0.25">
      <c r="A16" s="7">
        <v>514</v>
      </c>
      <c r="B16" s="7" t="s">
        <v>229</v>
      </c>
      <c r="C16" s="7" t="s">
        <v>145</v>
      </c>
      <c r="D16" s="7" t="s">
        <v>146</v>
      </c>
      <c r="E16" s="7" t="s">
        <v>230</v>
      </c>
      <c r="F16" s="7" t="s">
        <v>231</v>
      </c>
      <c r="G16" s="7" t="s">
        <v>232</v>
      </c>
      <c r="H16" s="7" t="s">
        <v>150</v>
      </c>
      <c r="I16" s="7" t="s">
        <v>233</v>
      </c>
      <c r="J16" s="7" t="s">
        <v>234</v>
      </c>
      <c r="K16" s="7" t="s">
        <v>153</v>
      </c>
      <c r="L16" s="7" t="s">
        <v>154</v>
      </c>
      <c r="M16" s="7" t="s">
        <v>162</v>
      </c>
      <c r="N16" s="8"/>
      <c r="O16" s="8"/>
      <c r="P16" s="8"/>
      <c r="Q16" s="8"/>
      <c r="R16" s="8"/>
      <c r="S16" s="8"/>
      <c r="T16" s="8"/>
    </row>
    <row r="17" spans="1:20" x14ac:dyDescent="0.25">
      <c r="A17">
        <v>532</v>
      </c>
      <c r="B17" t="s">
        <v>235</v>
      </c>
      <c r="C17" t="s">
        <v>145</v>
      </c>
      <c r="D17" t="s">
        <v>146</v>
      </c>
      <c r="E17" t="s">
        <v>236</v>
      </c>
      <c r="F17" t="s">
        <v>237</v>
      </c>
      <c r="G17" t="s">
        <v>238</v>
      </c>
      <c r="H17" t="s">
        <v>150</v>
      </c>
      <c r="I17" t="s">
        <v>222</v>
      </c>
      <c r="J17" t="s">
        <v>223</v>
      </c>
      <c r="K17" t="s">
        <v>153</v>
      </c>
      <c r="L17" t="s">
        <v>154</v>
      </c>
      <c r="M17" t="s">
        <v>162</v>
      </c>
      <c r="N17" s="8"/>
      <c r="O17" s="8"/>
      <c r="P17" s="8"/>
      <c r="Q17" s="8"/>
      <c r="R17" s="8"/>
      <c r="S17" s="8"/>
      <c r="T17" s="8"/>
    </row>
    <row r="18" spans="1:20" x14ac:dyDescent="0.25">
      <c r="A18" s="7">
        <v>862</v>
      </c>
      <c r="B18" s="7" t="s">
        <v>239</v>
      </c>
      <c r="C18" s="7" t="s">
        <v>145</v>
      </c>
      <c r="D18" s="7" t="s">
        <v>145</v>
      </c>
      <c r="E18" s="7" t="s">
        <v>240</v>
      </c>
      <c r="F18" s="7" t="s">
        <v>241</v>
      </c>
      <c r="G18" s="7" t="s">
        <v>242</v>
      </c>
      <c r="H18" s="7" t="s">
        <v>150</v>
      </c>
      <c r="I18" s="7" t="s">
        <v>243</v>
      </c>
      <c r="J18" s="7" t="s">
        <v>244</v>
      </c>
      <c r="K18" s="7" t="s">
        <v>153</v>
      </c>
      <c r="L18" s="7" t="s">
        <v>154</v>
      </c>
      <c r="M18" s="7" t="s">
        <v>145</v>
      </c>
      <c r="N18" s="8"/>
      <c r="O18" s="8"/>
      <c r="P18" s="8"/>
      <c r="Q18" s="8"/>
      <c r="R18" s="8"/>
      <c r="S18" s="8"/>
      <c r="T18" s="8"/>
    </row>
    <row r="19" spans="1:20" x14ac:dyDescent="0.25">
      <c r="A19">
        <v>513</v>
      </c>
      <c r="B19" t="s">
        <v>245</v>
      </c>
      <c r="C19" t="s">
        <v>145</v>
      </c>
      <c r="D19" t="s">
        <v>146</v>
      </c>
      <c r="E19" t="s">
        <v>246</v>
      </c>
      <c r="F19" t="s">
        <v>247</v>
      </c>
      <c r="G19" t="s">
        <v>183</v>
      </c>
      <c r="H19" t="s">
        <v>150</v>
      </c>
      <c r="I19" t="s">
        <v>248</v>
      </c>
      <c r="J19" t="s">
        <v>249</v>
      </c>
      <c r="K19" t="s">
        <v>153</v>
      </c>
      <c r="L19" t="s">
        <v>85</v>
      </c>
      <c r="M19" t="s">
        <v>145</v>
      </c>
      <c r="N19" s="8"/>
      <c r="O19" s="8"/>
      <c r="P19" s="8"/>
      <c r="Q19" s="8"/>
      <c r="R19" s="8"/>
      <c r="S19" s="8"/>
      <c r="T19" s="8"/>
    </row>
    <row r="20" spans="1:20" x14ac:dyDescent="0.25">
      <c r="A20" s="7">
        <v>543</v>
      </c>
      <c r="B20" s="7" t="s">
        <v>250</v>
      </c>
      <c r="C20" s="7" t="s">
        <v>145</v>
      </c>
      <c r="D20" s="7" t="s">
        <v>146</v>
      </c>
      <c r="E20" s="7" t="s">
        <v>251</v>
      </c>
      <c r="F20" s="7" t="s">
        <v>252</v>
      </c>
      <c r="G20" s="7" t="s">
        <v>198</v>
      </c>
      <c r="H20" s="7" t="s">
        <v>150</v>
      </c>
      <c r="I20" s="7" t="s">
        <v>253</v>
      </c>
      <c r="J20" s="7" t="s">
        <v>254</v>
      </c>
      <c r="K20" s="7" t="s">
        <v>153</v>
      </c>
      <c r="L20" s="7" t="s">
        <v>85</v>
      </c>
      <c r="M20" s="7" t="s">
        <v>145</v>
      </c>
      <c r="N20" s="8"/>
      <c r="O20" s="8"/>
      <c r="P20" s="8"/>
      <c r="Q20" s="8"/>
      <c r="R20" s="8"/>
      <c r="S20" s="8"/>
      <c r="T20" s="8"/>
    </row>
    <row r="21" spans="1:20" x14ac:dyDescent="0.25">
      <c r="A21">
        <v>682</v>
      </c>
      <c r="B21" t="s">
        <v>255</v>
      </c>
      <c r="C21" t="s">
        <v>145</v>
      </c>
      <c r="D21" t="s">
        <v>145</v>
      </c>
      <c r="E21" t="s">
        <v>256</v>
      </c>
      <c r="F21" t="s">
        <v>257</v>
      </c>
      <c r="G21" t="s">
        <v>149</v>
      </c>
      <c r="H21" t="s">
        <v>150</v>
      </c>
      <c r="I21" t="s">
        <v>258</v>
      </c>
      <c r="J21" t="s">
        <v>259</v>
      </c>
      <c r="K21" t="s">
        <v>153</v>
      </c>
      <c r="L21" t="s">
        <v>154</v>
      </c>
      <c r="M21" t="s">
        <v>162</v>
      </c>
      <c r="N21" s="8"/>
      <c r="O21" s="8"/>
      <c r="P21" s="8"/>
      <c r="Q21" s="8"/>
      <c r="R21" s="8"/>
      <c r="S21" s="8"/>
      <c r="T21" s="8"/>
    </row>
    <row r="22" spans="1:20" x14ac:dyDescent="0.25">
      <c r="A22" s="7">
        <v>568</v>
      </c>
      <c r="B22" s="7" t="s">
        <v>260</v>
      </c>
      <c r="C22" s="7" t="s">
        <v>145</v>
      </c>
      <c r="D22" s="7" t="s">
        <v>146</v>
      </c>
      <c r="E22" s="7" t="s">
        <v>261</v>
      </c>
      <c r="F22" s="7" t="s">
        <v>262</v>
      </c>
      <c r="G22" s="7" t="s">
        <v>198</v>
      </c>
      <c r="H22" s="7" t="s">
        <v>150</v>
      </c>
      <c r="I22" s="7" t="s">
        <v>263</v>
      </c>
      <c r="J22" s="7" t="s">
        <v>264</v>
      </c>
      <c r="K22" s="7" t="s">
        <v>153</v>
      </c>
      <c r="L22" s="7" t="s">
        <v>154</v>
      </c>
      <c r="M22" s="7" t="s">
        <v>145</v>
      </c>
      <c r="N22" s="8"/>
      <c r="O22" s="8"/>
      <c r="P22" s="8"/>
      <c r="Q22" s="8"/>
      <c r="R22" s="8"/>
      <c r="S22" s="8"/>
      <c r="T22" s="8"/>
    </row>
    <row r="23" spans="1:20" x14ac:dyDescent="0.25">
      <c r="A23">
        <v>427</v>
      </c>
      <c r="B23" t="s">
        <v>265</v>
      </c>
      <c r="C23" t="s">
        <v>145</v>
      </c>
      <c r="D23" t="s">
        <v>146</v>
      </c>
      <c r="E23" t="s">
        <v>266</v>
      </c>
      <c r="F23" t="s">
        <v>267</v>
      </c>
      <c r="G23" t="s">
        <v>198</v>
      </c>
      <c r="H23" t="s">
        <v>150</v>
      </c>
      <c r="I23" t="s">
        <v>268</v>
      </c>
      <c r="J23" t="s">
        <v>269</v>
      </c>
      <c r="K23" t="s">
        <v>153</v>
      </c>
      <c r="L23" t="s">
        <v>85</v>
      </c>
      <c r="M23" t="s">
        <v>145</v>
      </c>
      <c r="N23" s="8"/>
      <c r="O23" s="8"/>
      <c r="P23" s="8"/>
      <c r="Q23" s="8"/>
      <c r="R23" s="8"/>
      <c r="S23" s="8"/>
      <c r="T23" s="8"/>
    </row>
    <row r="24" spans="1:20" x14ac:dyDescent="0.25">
      <c r="A24" s="7">
        <v>489</v>
      </c>
      <c r="B24" s="7" t="s">
        <v>270</v>
      </c>
      <c r="C24" s="7" t="s">
        <v>145</v>
      </c>
      <c r="D24" s="7" t="s">
        <v>146</v>
      </c>
      <c r="E24" s="7" t="s">
        <v>271</v>
      </c>
      <c r="F24" s="7" t="s">
        <v>272</v>
      </c>
      <c r="G24" s="7" t="s">
        <v>221</v>
      </c>
      <c r="H24" s="7" t="s">
        <v>150</v>
      </c>
      <c r="I24" s="7" t="s">
        <v>273</v>
      </c>
      <c r="J24" s="7" t="s">
        <v>274</v>
      </c>
      <c r="K24" s="7" t="s">
        <v>153</v>
      </c>
      <c r="L24" s="7" t="s">
        <v>275</v>
      </c>
      <c r="M24" s="7" t="s">
        <v>145</v>
      </c>
      <c r="N24" s="8"/>
      <c r="O24" s="8"/>
      <c r="P24" s="8"/>
      <c r="Q24" s="8"/>
      <c r="R24" s="8"/>
      <c r="S24" s="8"/>
      <c r="T24" s="8"/>
    </row>
    <row r="25" spans="1:20" x14ac:dyDescent="0.25">
      <c r="A25">
        <v>452</v>
      </c>
      <c r="B25" t="s">
        <v>276</v>
      </c>
      <c r="C25" t="s">
        <v>145</v>
      </c>
      <c r="D25" t="s">
        <v>146</v>
      </c>
      <c r="E25" t="s">
        <v>277</v>
      </c>
      <c r="F25" t="s">
        <v>278</v>
      </c>
      <c r="G25" t="s">
        <v>159</v>
      </c>
      <c r="H25" t="s">
        <v>150</v>
      </c>
      <c r="I25" t="s">
        <v>279</v>
      </c>
      <c r="J25" t="s">
        <v>280</v>
      </c>
      <c r="K25" t="s">
        <v>153</v>
      </c>
      <c r="L25" t="s">
        <v>154</v>
      </c>
      <c r="M25" t="s">
        <v>145</v>
      </c>
      <c r="N25" s="8"/>
      <c r="O25" s="8"/>
      <c r="P25" s="8"/>
      <c r="Q25" s="8"/>
      <c r="R25" s="8"/>
      <c r="S25" s="8"/>
      <c r="T25" s="8"/>
    </row>
    <row r="26" spans="1:20" x14ac:dyDescent="0.25">
      <c r="A26" s="7">
        <v>787</v>
      </c>
      <c r="B26" s="7" t="s">
        <v>281</v>
      </c>
      <c r="C26" s="7" t="s">
        <v>145</v>
      </c>
      <c r="D26" s="7" t="s">
        <v>145</v>
      </c>
      <c r="E26" s="7" t="s">
        <v>282</v>
      </c>
      <c r="F26" s="7" t="s">
        <v>283</v>
      </c>
      <c r="G26" s="7" t="s">
        <v>149</v>
      </c>
      <c r="H26" s="7" t="s">
        <v>150</v>
      </c>
      <c r="I26" s="7" t="s">
        <v>284</v>
      </c>
      <c r="J26" s="7" t="s">
        <v>285</v>
      </c>
      <c r="K26" s="7" t="s">
        <v>153</v>
      </c>
      <c r="L26" s="7" t="s">
        <v>154</v>
      </c>
      <c r="M26" s="7" t="s">
        <v>162</v>
      </c>
      <c r="N26" s="8"/>
      <c r="O26" s="8"/>
      <c r="P26" s="8"/>
      <c r="Q26" s="8"/>
      <c r="R26" s="8"/>
      <c r="S26" s="8"/>
      <c r="T26" s="8"/>
    </row>
    <row r="27" spans="1:20" x14ac:dyDescent="0.25">
      <c r="A27">
        <v>342</v>
      </c>
      <c r="B27" t="s">
        <v>286</v>
      </c>
      <c r="C27" t="s">
        <v>145</v>
      </c>
      <c r="D27" t="s">
        <v>287</v>
      </c>
      <c r="E27" t="s">
        <v>288</v>
      </c>
      <c r="F27" t="s">
        <v>289</v>
      </c>
      <c r="G27" t="s">
        <v>290</v>
      </c>
      <c r="H27" t="s">
        <v>150</v>
      </c>
      <c r="I27" t="s">
        <v>291</v>
      </c>
      <c r="J27" t="s">
        <v>292</v>
      </c>
      <c r="K27" t="s">
        <v>153</v>
      </c>
      <c r="L27" t="s">
        <v>85</v>
      </c>
      <c r="M27" t="s">
        <v>162</v>
      </c>
      <c r="N27" s="8"/>
      <c r="O27" s="8"/>
      <c r="P27" s="8"/>
      <c r="Q27" s="8"/>
      <c r="R27" s="8"/>
      <c r="S27" s="8"/>
      <c r="T27" s="8"/>
    </row>
    <row r="28" spans="1:20" x14ac:dyDescent="0.25">
      <c r="A28" s="7">
        <v>653</v>
      </c>
      <c r="B28" s="7" t="s">
        <v>293</v>
      </c>
      <c r="C28" s="7" t="s">
        <v>145</v>
      </c>
      <c r="D28" s="7" t="s">
        <v>287</v>
      </c>
      <c r="E28" s="7" t="s">
        <v>294</v>
      </c>
      <c r="F28" s="7" t="s">
        <v>295</v>
      </c>
      <c r="G28" s="7" t="s">
        <v>183</v>
      </c>
      <c r="H28" s="7" t="s">
        <v>150</v>
      </c>
      <c r="I28" s="7" t="s">
        <v>296</v>
      </c>
      <c r="J28" s="7" t="s">
        <v>297</v>
      </c>
      <c r="K28" s="7" t="s">
        <v>153</v>
      </c>
      <c r="L28" s="7" t="s">
        <v>154</v>
      </c>
      <c r="M28" s="7" t="s">
        <v>145</v>
      </c>
      <c r="N28" s="8"/>
      <c r="O28" s="8"/>
      <c r="P28" s="8"/>
      <c r="Q28" s="8"/>
      <c r="R28" s="8"/>
      <c r="S28" s="8"/>
      <c r="T28" s="8"/>
    </row>
    <row r="29" spans="1:20" x14ac:dyDescent="0.25">
      <c r="A29">
        <v>530</v>
      </c>
      <c r="B29" t="s">
        <v>298</v>
      </c>
      <c r="C29" t="s">
        <v>145</v>
      </c>
      <c r="D29" t="s">
        <v>146</v>
      </c>
      <c r="E29" t="s">
        <v>299</v>
      </c>
      <c r="F29" t="s">
        <v>300</v>
      </c>
      <c r="G29" t="s">
        <v>183</v>
      </c>
      <c r="H29" t="s">
        <v>150</v>
      </c>
      <c r="I29" t="s">
        <v>301</v>
      </c>
      <c r="J29" t="s">
        <v>302</v>
      </c>
      <c r="K29" t="s">
        <v>153</v>
      </c>
      <c r="L29" t="s">
        <v>85</v>
      </c>
      <c r="M29" t="s">
        <v>145</v>
      </c>
      <c r="N29" s="8"/>
      <c r="O29" s="8"/>
      <c r="P29" s="8"/>
      <c r="Q29" s="8"/>
      <c r="R29" s="8"/>
      <c r="S29" s="8"/>
      <c r="T29" s="8"/>
    </row>
    <row r="30" spans="1:20" x14ac:dyDescent="0.25">
      <c r="A30" s="7">
        <v>705</v>
      </c>
      <c r="B30" s="7" t="s">
        <v>303</v>
      </c>
      <c r="C30" s="7" t="s">
        <v>145</v>
      </c>
      <c r="D30" s="7" t="s">
        <v>304</v>
      </c>
      <c r="E30" s="7" t="s">
        <v>305</v>
      </c>
      <c r="F30" s="7" t="s">
        <v>306</v>
      </c>
      <c r="G30" s="7"/>
      <c r="H30" s="7" t="s">
        <v>150</v>
      </c>
      <c r="I30" s="7" t="s">
        <v>307</v>
      </c>
      <c r="J30" s="7" t="s">
        <v>308</v>
      </c>
      <c r="K30" s="7" t="s">
        <v>153</v>
      </c>
      <c r="L30" s="7" t="s">
        <v>154</v>
      </c>
      <c r="M30" s="7" t="s">
        <v>145</v>
      </c>
      <c r="N30" s="8"/>
      <c r="O30" s="8"/>
      <c r="P30" s="8"/>
      <c r="Q30" s="8"/>
      <c r="R30" s="8"/>
      <c r="S30" s="8"/>
      <c r="T30" s="8"/>
    </row>
    <row r="31" spans="1:20" x14ac:dyDescent="0.25">
      <c r="A31">
        <v>535</v>
      </c>
      <c r="B31" t="s">
        <v>309</v>
      </c>
      <c r="C31" t="s">
        <v>310</v>
      </c>
      <c r="D31" t="s">
        <v>311</v>
      </c>
      <c r="E31" t="s">
        <v>312</v>
      </c>
      <c r="F31" t="s">
        <v>313</v>
      </c>
      <c r="G31" t="s">
        <v>159</v>
      </c>
      <c r="H31" t="s">
        <v>150</v>
      </c>
      <c r="I31" t="s">
        <v>314</v>
      </c>
      <c r="J31" t="s">
        <v>315</v>
      </c>
      <c r="K31" t="s">
        <v>153</v>
      </c>
      <c r="L31" t="s">
        <v>154</v>
      </c>
      <c r="M31" t="s">
        <v>145</v>
      </c>
      <c r="N31" s="8"/>
      <c r="O31" s="8"/>
      <c r="P31" s="8"/>
      <c r="Q31" s="8"/>
      <c r="R31" s="8"/>
      <c r="S31" s="8"/>
      <c r="T31" s="8"/>
    </row>
    <row r="32" spans="1:20" x14ac:dyDescent="0.25">
      <c r="A32" s="7">
        <v>662</v>
      </c>
      <c r="B32" s="7" t="s">
        <v>316</v>
      </c>
      <c r="C32" s="7" t="s">
        <v>310</v>
      </c>
      <c r="D32" s="7" t="s">
        <v>287</v>
      </c>
      <c r="E32" s="7" t="s">
        <v>312</v>
      </c>
      <c r="F32" s="7" t="s">
        <v>317</v>
      </c>
      <c r="G32" s="7" t="s">
        <v>159</v>
      </c>
      <c r="H32" s="7" t="s">
        <v>150</v>
      </c>
      <c r="I32" s="7" t="s">
        <v>318</v>
      </c>
      <c r="J32" s="7" t="s">
        <v>319</v>
      </c>
      <c r="K32" s="7" t="s">
        <v>153</v>
      </c>
      <c r="L32" s="7" t="s">
        <v>154</v>
      </c>
      <c r="M32" s="7" t="s">
        <v>162</v>
      </c>
      <c r="N32" s="8"/>
      <c r="O32" s="8"/>
      <c r="P32" s="8"/>
      <c r="Q32" s="8"/>
      <c r="R32" s="8"/>
      <c r="S32" s="8"/>
      <c r="T32" s="8"/>
    </row>
    <row r="33" spans="1:20" x14ac:dyDescent="0.25">
      <c r="A33">
        <v>517</v>
      </c>
      <c r="B33" t="s">
        <v>320</v>
      </c>
      <c r="C33" t="s">
        <v>145</v>
      </c>
      <c r="D33" t="s">
        <v>146</v>
      </c>
      <c r="E33" t="s">
        <v>321</v>
      </c>
      <c r="F33" t="s">
        <v>322</v>
      </c>
      <c r="G33" t="s">
        <v>323</v>
      </c>
      <c r="H33" t="s">
        <v>150</v>
      </c>
      <c r="I33" t="s">
        <v>324</v>
      </c>
      <c r="J33" t="s">
        <v>325</v>
      </c>
      <c r="K33" t="s">
        <v>153</v>
      </c>
      <c r="L33" t="s">
        <v>154</v>
      </c>
      <c r="M33" t="s">
        <v>162</v>
      </c>
      <c r="N33" s="8"/>
      <c r="O33" s="8"/>
      <c r="P33" s="8"/>
      <c r="Q33" s="8"/>
      <c r="R33" s="8"/>
      <c r="S33" s="8"/>
      <c r="T33" s="8"/>
    </row>
    <row r="34" spans="1:20" x14ac:dyDescent="0.25">
      <c r="A34" s="7">
        <v>358</v>
      </c>
      <c r="B34" s="7" t="s">
        <v>326</v>
      </c>
      <c r="C34" s="7" t="s">
        <v>145</v>
      </c>
      <c r="D34" s="7" t="s">
        <v>146</v>
      </c>
      <c r="E34" s="7" t="s">
        <v>327</v>
      </c>
      <c r="F34" s="7" t="s">
        <v>328</v>
      </c>
      <c r="G34" s="7" t="s">
        <v>238</v>
      </c>
      <c r="H34" s="7" t="s">
        <v>150</v>
      </c>
      <c r="I34" s="7" t="s">
        <v>329</v>
      </c>
      <c r="J34" s="7" t="s">
        <v>330</v>
      </c>
      <c r="K34" s="7" t="s">
        <v>153</v>
      </c>
      <c r="L34" s="7" t="s">
        <v>154</v>
      </c>
      <c r="M34" s="7" t="s">
        <v>145</v>
      </c>
      <c r="N34" s="8"/>
      <c r="O34" s="8"/>
      <c r="P34" s="8"/>
      <c r="Q34" s="8"/>
      <c r="R34" s="8"/>
      <c r="S34" s="8"/>
      <c r="T34" s="8"/>
    </row>
    <row r="35" spans="1:20" x14ac:dyDescent="0.25">
      <c r="A35">
        <v>460</v>
      </c>
      <c r="B35" t="s">
        <v>331</v>
      </c>
      <c r="C35" t="s">
        <v>145</v>
      </c>
      <c r="D35" t="s">
        <v>146</v>
      </c>
      <c r="E35" t="s">
        <v>332</v>
      </c>
      <c r="F35" t="s">
        <v>333</v>
      </c>
      <c r="G35" t="s">
        <v>221</v>
      </c>
      <c r="H35" t="s">
        <v>150</v>
      </c>
      <c r="I35" t="s">
        <v>334</v>
      </c>
      <c r="J35" t="s">
        <v>335</v>
      </c>
      <c r="K35" t="s">
        <v>153</v>
      </c>
      <c r="L35" t="s">
        <v>85</v>
      </c>
      <c r="M35" t="s">
        <v>162</v>
      </c>
      <c r="N35" s="8"/>
      <c r="O35" s="8"/>
      <c r="P35" s="8"/>
      <c r="Q35" s="8"/>
      <c r="R35" s="8"/>
      <c r="S35" s="8"/>
      <c r="T35" s="8"/>
    </row>
    <row r="36" spans="1:20" x14ac:dyDescent="0.25">
      <c r="A36" s="7">
        <v>586</v>
      </c>
      <c r="B36" s="7" t="s">
        <v>336</v>
      </c>
      <c r="C36" s="7" t="s">
        <v>145</v>
      </c>
      <c r="D36" s="7" t="s">
        <v>146</v>
      </c>
      <c r="E36" s="7" t="s">
        <v>337</v>
      </c>
      <c r="F36" s="7" t="s">
        <v>338</v>
      </c>
      <c r="G36" s="7" t="s">
        <v>159</v>
      </c>
      <c r="H36" s="7" t="s">
        <v>150</v>
      </c>
      <c r="I36" s="7" t="s">
        <v>339</v>
      </c>
      <c r="J36" s="7"/>
      <c r="K36" s="7" t="s">
        <v>153</v>
      </c>
      <c r="L36" s="7" t="s">
        <v>154</v>
      </c>
      <c r="M36" s="7" t="s">
        <v>145</v>
      </c>
      <c r="N36" s="8"/>
      <c r="O36" s="8"/>
      <c r="P36" s="8"/>
      <c r="Q36" s="8"/>
      <c r="R36" s="8"/>
      <c r="S36" s="8"/>
      <c r="T36" s="8"/>
    </row>
    <row r="37" spans="1:20" x14ac:dyDescent="0.25">
      <c r="A37">
        <v>551</v>
      </c>
      <c r="B37" t="s">
        <v>340</v>
      </c>
      <c r="C37" t="s">
        <v>145</v>
      </c>
      <c r="D37" t="s">
        <v>146</v>
      </c>
      <c r="E37" t="s">
        <v>341</v>
      </c>
      <c r="F37" t="s">
        <v>342</v>
      </c>
      <c r="G37" t="s">
        <v>159</v>
      </c>
      <c r="H37" t="s">
        <v>150</v>
      </c>
      <c r="I37" t="s">
        <v>343</v>
      </c>
      <c r="J37" t="s">
        <v>344</v>
      </c>
      <c r="K37" t="s">
        <v>153</v>
      </c>
      <c r="L37" t="s">
        <v>275</v>
      </c>
      <c r="M37" t="s">
        <v>145</v>
      </c>
      <c r="N37" s="8"/>
      <c r="O37" s="8"/>
      <c r="P37" s="8"/>
      <c r="Q37" s="8"/>
      <c r="R37" s="8"/>
      <c r="S37" s="8"/>
      <c r="T37" s="8"/>
    </row>
    <row r="38" spans="1:20" x14ac:dyDescent="0.25">
      <c r="A38" s="7">
        <v>416</v>
      </c>
      <c r="B38" s="7" t="s">
        <v>345</v>
      </c>
      <c r="C38" s="7" t="s">
        <v>145</v>
      </c>
      <c r="D38" s="7" t="s">
        <v>346</v>
      </c>
      <c r="E38" s="7" t="s">
        <v>347</v>
      </c>
      <c r="F38" s="7" t="s">
        <v>348</v>
      </c>
      <c r="G38" s="7" t="s">
        <v>221</v>
      </c>
      <c r="H38" s="7" t="s">
        <v>150</v>
      </c>
      <c r="I38" s="7" t="s">
        <v>349</v>
      </c>
      <c r="J38" s="7" t="s">
        <v>350</v>
      </c>
      <c r="K38" s="7" t="s">
        <v>153</v>
      </c>
      <c r="L38" s="7" t="s">
        <v>275</v>
      </c>
      <c r="M38" s="7" t="s">
        <v>145</v>
      </c>
      <c r="N38" s="8"/>
      <c r="O38" s="8"/>
      <c r="P38" s="8"/>
      <c r="Q38" s="8"/>
      <c r="R38" s="8"/>
      <c r="S38" s="8"/>
      <c r="T38" s="8"/>
    </row>
    <row r="39" spans="1:20" x14ac:dyDescent="0.25">
      <c r="A39">
        <v>465</v>
      </c>
      <c r="B39" t="s">
        <v>351</v>
      </c>
      <c r="C39" t="s">
        <v>145</v>
      </c>
      <c r="D39" t="s">
        <v>311</v>
      </c>
      <c r="E39" t="s">
        <v>352</v>
      </c>
      <c r="F39" t="s">
        <v>353</v>
      </c>
      <c r="G39" t="s">
        <v>354</v>
      </c>
      <c r="H39" t="s">
        <v>150</v>
      </c>
      <c r="I39" t="s">
        <v>355</v>
      </c>
      <c r="J39" t="s">
        <v>356</v>
      </c>
      <c r="K39" t="s">
        <v>153</v>
      </c>
      <c r="L39" t="s">
        <v>154</v>
      </c>
      <c r="M39" t="s">
        <v>162</v>
      </c>
      <c r="N39" s="8"/>
      <c r="O39" s="8"/>
      <c r="P39" s="8"/>
      <c r="Q39" s="8"/>
      <c r="R39" s="8"/>
      <c r="S39" s="8"/>
      <c r="T39" s="8"/>
    </row>
    <row r="40" spans="1:20" x14ac:dyDescent="0.25">
      <c r="A40" s="7">
        <v>360</v>
      </c>
      <c r="B40" s="7" t="s">
        <v>357</v>
      </c>
      <c r="C40" s="7" t="s">
        <v>358</v>
      </c>
      <c r="D40" s="7" t="s">
        <v>346</v>
      </c>
      <c r="E40" s="7" t="s">
        <v>359</v>
      </c>
      <c r="F40" s="7" t="s">
        <v>360</v>
      </c>
      <c r="G40" s="7" t="s">
        <v>361</v>
      </c>
      <c r="H40" s="7" t="s">
        <v>150</v>
      </c>
      <c r="I40" s="7" t="s">
        <v>362</v>
      </c>
      <c r="J40" s="7" t="s">
        <v>363</v>
      </c>
      <c r="K40" s="7" t="s">
        <v>153</v>
      </c>
      <c r="L40" s="7" t="s">
        <v>85</v>
      </c>
      <c r="M40" s="7" t="s">
        <v>162</v>
      </c>
      <c r="N40" s="8"/>
      <c r="O40" s="8"/>
      <c r="P40" s="8"/>
      <c r="Q40" s="8"/>
      <c r="R40" s="8"/>
      <c r="S40" s="8"/>
      <c r="T40" s="8"/>
    </row>
    <row r="41" spans="1:20" x14ac:dyDescent="0.25">
      <c r="A41">
        <v>432</v>
      </c>
      <c r="B41" t="s">
        <v>364</v>
      </c>
      <c r="C41" t="s">
        <v>365</v>
      </c>
      <c r="D41" t="s">
        <v>311</v>
      </c>
      <c r="E41" t="s">
        <v>366</v>
      </c>
      <c r="F41" t="s">
        <v>367</v>
      </c>
      <c r="G41" t="s">
        <v>221</v>
      </c>
      <c r="H41" t="s">
        <v>150</v>
      </c>
      <c r="I41" t="s">
        <v>368</v>
      </c>
      <c r="J41" t="s">
        <v>369</v>
      </c>
      <c r="K41" t="s">
        <v>153</v>
      </c>
      <c r="L41" t="s">
        <v>154</v>
      </c>
      <c r="M41" t="s">
        <v>145</v>
      </c>
      <c r="N41" s="8"/>
      <c r="O41" s="8"/>
      <c r="P41" s="8"/>
      <c r="Q41" s="8"/>
      <c r="R41" s="8"/>
      <c r="S41" s="8"/>
      <c r="T41" s="8"/>
    </row>
    <row r="42" spans="1:20" x14ac:dyDescent="0.25">
      <c r="A42" s="7">
        <v>434</v>
      </c>
      <c r="B42" s="7" t="s">
        <v>370</v>
      </c>
      <c r="C42" s="7" t="s">
        <v>365</v>
      </c>
      <c r="D42" s="7" t="s">
        <v>311</v>
      </c>
      <c r="E42" s="7" t="s">
        <v>366</v>
      </c>
      <c r="F42" s="7" t="s">
        <v>371</v>
      </c>
      <c r="G42" s="7" t="s">
        <v>221</v>
      </c>
      <c r="H42" s="7" t="s">
        <v>150</v>
      </c>
      <c r="I42" s="7" t="s">
        <v>368</v>
      </c>
      <c r="J42" s="7" t="s">
        <v>372</v>
      </c>
      <c r="K42" s="7" t="s">
        <v>153</v>
      </c>
      <c r="L42" s="7" t="s">
        <v>154</v>
      </c>
      <c r="M42" s="7" t="s">
        <v>145</v>
      </c>
      <c r="N42" s="8"/>
      <c r="O42" s="8"/>
      <c r="P42" s="8"/>
      <c r="Q42" s="8"/>
      <c r="R42" s="8"/>
      <c r="S42" s="8"/>
      <c r="T42" s="8"/>
    </row>
    <row r="43" spans="1:20" x14ac:dyDescent="0.25">
      <c r="A43">
        <v>435</v>
      </c>
      <c r="B43" t="s">
        <v>373</v>
      </c>
      <c r="C43" t="s">
        <v>365</v>
      </c>
      <c r="D43" t="s">
        <v>311</v>
      </c>
      <c r="E43" t="s">
        <v>366</v>
      </c>
      <c r="F43" t="s">
        <v>374</v>
      </c>
      <c r="G43" t="s">
        <v>221</v>
      </c>
      <c r="H43" t="s">
        <v>150</v>
      </c>
      <c r="I43" t="s">
        <v>375</v>
      </c>
      <c r="J43" t="s">
        <v>376</v>
      </c>
      <c r="K43" t="s">
        <v>153</v>
      </c>
      <c r="L43" t="s">
        <v>154</v>
      </c>
      <c r="M43" t="s">
        <v>145</v>
      </c>
      <c r="N43" s="8"/>
      <c r="O43" s="8"/>
      <c r="P43" s="8"/>
      <c r="Q43" s="8"/>
      <c r="R43" s="8"/>
      <c r="S43" s="8"/>
      <c r="T43" s="8"/>
    </row>
    <row r="44" spans="1:20" x14ac:dyDescent="0.25">
      <c r="A44" s="7">
        <v>433</v>
      </c>
      <c r="B44" s="7" t="s">
        <v>377</v>
      </c>
      <c r="C44" s="7" t="s">
        <v>365</v>
      </c>
      <c r="D44" s="7" t="s">
        <v>311</v>
      </c>
      <c r="E44" s="7" t="s">
        <v>366</v>
      </c>
      <c r="F44" s="7" t="s">
        <v>378</v>
      </c>
      <c r="G44" s="7" t="s">
        <v>221</v>
      </c>
      <c r="H44" s="7" t="s">
        <v>150</v>
      </c>
      <c r="I44" s="7" t="s">
        <v>368</v>
      </c>
      <c r="J44" s="7" t="s">
        <v>379</v>
      </c>
      <c r="K44" s="7" t="s">
        <v>153</v>
      </c>
      <c r="L44" s="7" t="s">
        <v>154</v>
      </c>
      <c r="M44" s="7" t="s">
        <v>145</v>
      </c>
      <c r="N44" s="8"/>
      <c r="O44" s="8"/>
      <c r="P44" s="8"/>
      <c r="Q44" s="8"/>
      <c r="R44" s="8"/>
      <c r="S44" s="8"/>
      <c r="T44" s="8"/>
    </row>
    <row r="45" spans="1:20" x14ac:dyDescent="0.25">
      <c r="A45">
        <v>867</v>
      </c>
      <c r="B45" t="s">
        <v>380</v>
      </c>
      <c r="C45" t="s">
        <v>381</v>
      </c>
      <c r="D45" t="s">
        <v>145</v>
      </c>
      <c r="E45" t="s">
        <v>382</v>
      </c>
      <c r="F45" t="s">
        <v>383</v>
      </c>
      <c r="G45" t="s">
        <v>384</v>
      </c>
      <c r="H45" t="s">
        <v>150</v>
      </c>
      <c r="I45" t="s">
        <v>385</v>
      </c>
      <c r="J45" t="s">
        <v>386</v>
      </c>
      <c r="K45" t="s">
        <v>153</v>
      </c>
      <c r="L45" t="s">
        <v>85</v>
      </c>
      <c r="M45" t="s">
        <v>162</v>
      </c>
      <c r="N45" s="8"/>
      <c r="O45" s="8"/>
      <c r="P45" s="8"/>
      <c r="Q45" s="8"/>
      <c r="R45" s="8"/>
      <c r="S45" s="8"/>
      <c r="T45" s="8"/>
    </row>
    <row r="46" spans="1:20" x14ac:dyDescent="0.25">
      <c r="A46" s="7">
        <v>504</v>
      </c>
      <c r="B46" s="7" t="s">
        <v>387</v>
      </c>
      <c r="C46" s="7" t="s">
        <v>381</v>
      </c>
      <c r="D46" s="7" t="s">
        <v>311</v>
      </c>
      <c r="E46" s="7" t="s">
        <v>388</v>
      </c>
      <c r="F46" s="7" t="s">
        <v>389</v>
      </c>
      <c r="G46" s="7" t="s">
        <v>390</v>
      </c>
      <c r="H46" s="7" t="s">
        <v>150</v>
      </c>
      <c r="I46" s="7" t="s">
        <v>391</v>
      </c>
      <c r="J46" s="7" t="s">
        <v>392</v>
      </c>
      <c r="K46" s="7" t="s">
        <v>153</v>
      </c>
      <c r="L46" s="7" t="s">
        <v>85</v>
      </c>
      <c r="M46" s="7" t="s">
        <v>162</v>
      </c>
      <c r="N46" s="8"/>
      <c r="O46" s="8"/>
      <c r="P46" s="8"/>
      <c r="Q46" s="8"/>
      <c r="R46" s="8"/>
      <c r="S46" s="8"/>
      <c r="T46" s="8"/>
    </row>
    <row r="47" spans="1:20" x14ac:dyDescent="0.25">
      <c r="A47">
        <v>378</v>
      </c>
      <c r="B47" t="s">
        <v>393</v>
      </c>
      <c r="C47" t="s">
        <v>145</v>
      </c>
      <c r="D47" t="s">
        <v>287</v>
      </c>
      <c r="E47" t="s">
        <v>394</v>
      </c>
      <c r="F47" t="s">
        <v>395</v>
      </c>
      <c r="G47" t="s">
        <v>396</v>
      </c>
      <c r="H47" t="s">
        <v>150</v>
      </c>
      <c r="I47" t="s">
        <v>397</v>
      </c>
      <c r="J47" t="s">
        <v>398</v>
      </c>
      <c r="K47" t="s">
        <v>153</v>
      </c>
      <c r="L47" t="s">
        <v>154</v>
      </c>
      <c r="M47" t="s">
        <v>145</v>
      </c>
      <c r="N47" s="8"/>
      <c r="O47" s="8"/>
      <c r="P47" s="8"/>
      <c r="Q47" s="8"/>
      <c r="R47" s="8"/>
      <c r="S47" s="8"/>
      <c r="T47" s="8"/>
    </row>
    <row r="48" spans="1:20" x14ac:dyDescent="0.25">
      <c r="A48" s="7">
        <v>685</v>
      </c>
      <c r="B48" s="7" t="s">
        <v>399</v>
      </c>
      <c r="C48" s="7" t="s">
        <v>145</v>
      </c>
      <c r="D48" s="7" t="s">
        <v>145</v>
      </c>
      <c r="E48" s="7" t="s">
        <v>400</v>
      </c>
      <c r="F48" s="7" t="s">
        <v>401</v>
      </c>
      <c r="G48" s="7" t="s">
        <v>402</v>
      </c>
      <c r="H48" s="7" t="s">
        <v>150</v>
      </c>
      <c r="I48" s="7" t="s">
        <v>403</v>
      </c>
      <c r="J48" s="7" t="s">
        <v>404</v>
      </c>
      <c r="K48" s="7" t="s">
        <v>153</v>
      </c>
      <c r="L48" s="7" t="s">
        <v>154</v>
      </c>
      <c r="M48" s="7" t="s">
        <v>145</v>
      </c>
      <c r="N48" s="8"/>
      <c r="O48" s="8"/>
      <c r="P48" s="8"/>
      <c r="Q48" s="8"/>
      <c r="R48" s="8"/>
      <c r="S48" s="8"/>
      <c r="T48" s="8"/>
    </row>
    <row r="49" spans="1:20" x14ac:dyDescent="0.25">
      <c r="A49">
        <v>885</v>
      </c>
      <c r="B49" t="s">
        <v>405</v>
      </c>
      <c r="C49" t="s">
        <v>145</v>
      </c>
      <c r="D49" t="s">
        <v>145</v>
      </c>
      <c r="E49" t="s">
        <v>406</v>
      </c>
      <c r="F49" t="s">
        <v>407</v>
      </c>
      <c r="G49" t="s">
        <v>408</v>
      </c>
      <c r="H49" t="s">
        <v>150</v>
      </c>
      <c r="I49" t="s">
        <v>409</v>
      </c>
      <c r="K49" t="s">
        <v>153</v>
      </c>
      <c r="L49" t="s">
        <v>154</v>
      </c>
      <c r="M49" t="s">
        <v>145</v>
      </c>
      <c r="N49" s="8"/>
      <c r="O49" s="8"/>
      <c r="P49" s="8"/>
      <c r="Q49" s="8"/>
      <c r="R49" s="8"/>
      <c r="S49" s="8"/>
      <c r="T49" s="8"/>
    </row>
    <row r="50" spans="1:20" x14ac:dyDescent="0.25">
      <c r="A50" s="7">
        <v>840</v>
      </c>
      <c r="B50" s="7" t="s">
        <v>410</v>
      </c>
      <c r="C50" s="7" t="s">
        <v>145</v>
      </c>
      <c r="D50" s="7" t="s">
        <v>145</v>
      </c>
      <c r="E50" s="7" t="s">
        <v>411</v>
      </c>
      <c r="F50" s="7" t="s">
        <v>412</v>
      </c>
      <c r="G50" s="7" t="s">
        <v>413</v>
      </c>
      <c r="H50" s="7" t="s">
        <v>150</v>
      </c>
      <c r="I50" s="7" t="s">
        <v>414</v>
      </c>
      <c r="J50" s="7" t="s">
        <v>415</v>
      </c>
      <c r="K50" s="7" t="s">
        <v>153</v>
      </c>
      <c r="L50" s="7" t="s">
        <v>154</v>
      </c>
      <c r="M50" s="7" t="s">
        <v>162</v>
      </c>
      <c r="N50" s="8"/>
      <c r="O50" s="8"/>
      <c r="P50" s="8"/>
      <c r="Q50" s="8"/>
      <c r="R50" s="8"/>
      <c r="S50" s="8"/>
      <c r="T50" s="8"/>
    </row>
    <row r="51" spans="1:20" x14ac:dyDescent="0.25">
      <c r="A51">
        <v>638</v>
      </c>
      <c r="B51" t="s">
        <v>416</v>
      </c>
      <c r="C51" t="s">
        <v>145</v>
      </c>
      <c r="D51" t="s">
        <v>417</v>
      </c>
      <c r="E51" t="s">
        <v>418</v>
      </c>
      <c r="F51" t="s">
        <v>419</v>
      </c>
      <c r="G51" t="s">
        <v>149</v>
      </c>
      <c r="H51" t="s">
        <v>150</v>
      </c>
      <c r="K51" t="s">
        <v>153</v>
      </c>
      <c r="L51" t="s">
        <v>154</v>
      </c>
      <c r="M51" t="s">
        <v>162</v>
      </c>
      <c r="N51" s="8"/>
      <c r="O51" s="8"/>
      <c r="P51" s="8"/>
      <c r="Q51" s="8"/>
      <c r="R51" s="8"/>
      <c r="S51" s="8"/>
      <c r="T51" s="8"/>
    </row>
    <row r="52" spans="1:20" x14ac:dyDescent="0.25">
      <c r="A52" s="7">
        <v>680</v>
      </c>
      <c r="B52" s="7" t="s">
        <v>420</v>
      </c>
      <c r="C52" s="7" t="s">
        <v>145</v>
      </c>
      <c r="D52" s="7" t="s">
        <v>421</v>
      </c>
      <c r="E52" s="7" t="s">
        <v>422</v>
      </c>
      <c r="F52" s="7" t="s">
        <v>423</v>
      </c>
      <c r="G52" s="7" t="s">
        <v>323</v>
      </c>
      <c r="H52" s="7" t="s">
        <v>150</v>
      </c>
      <c r="I52" s="7" t="s">
        <v>424</v>
      </c>
      <c r="J52" s="7" t="s">
        <v>425</v>
      </c>
      <c r="K52" s="7" t="s">
        <v>153</v>
      </c>
      <c r="L52" s="7" t="s">
        <v>154</v>
      </c>
      <c r="M52" s="7" t="s">
        <v>145</v>
      </c>
      <c r="N52" s="8"/>
      <c r="O52" s="8"/>
      <c r="P52" s="8"/>
      <c r="Q52" s="8"/>
      <c r="R52" s="8"/>
      <c r="S52" s="8"/>
      <c r="T52" s="8"/>
    </row>
    <row r="53" spans="1:20" x14ac:dyDescent="0.25">
      <c r="A53">
        <v>728</v>
      </c>
      <c r="B53" t="s">
        <v>426</v>
      </c>
      <c r="C53" t="s">
        <v>145</v>
      </c>
      <c r="D53" t="s">
        <v>145</v>
      </c>
      <c r="E53" t="s">
        <v>427</v>
      </c>
      <c r="F53" t="s">
        <v>428</v>
      </c>
      <c r="G53" t="s">
        <v>171</v>
      </c>
      <c r="H53" t="s">
        <v>150</v>
      </c>
      <c r="I53" t="s">
        <v>429</v>
      </c>
      <c r="J53" t="s">
        <v>430</v>
      </c>
      <c r="K53" t="s">
        <v>153</v>
      </c>
      <c r="L53" t="s">
        <v>154</v>
      </c>
      <c r="M53" t="s">
        <v>145</v>
      </c>
      <c r="N53" s="8"/>
      <c r="O53" s="8"/>
      <c r="P53" s="8"/>
      <c r="Q53" s="8"/>
      <c r="R53" s="8"/>
      <c r="S53" s="8"/>
      <c r="T53" s="8"/>
    </row>
    <row r="54" spans="1:20" x14ac:dyDescent="0.25">
      <c r="A54" s="7">
        <v>765</v>
      </c>
      <c r="B54" s="7" t="s">
        <v>431</v>
      </c>
      <c r="C54" s="7" t="s">
        <v>145</v>
      </c>
      <c r="D54" s="7" t="s">
        <v>287</v>
      </c>
      <c r="E54" s="7" t="s">
        <v>432</v>
      </c>
      <c r="F54" s="7" t="s">
        <v>433</v>
      </c>
      <c r="G54" s="7" t="s">
        <v>434</v>
      </c>
      <c r="H54" s="7" t="s">
        <v>150</v>
      </c>
      <c r="I54" s="7" t="s">
        <v>435</v>
      </c>
      <c r="J54" s="7" t="s">
        <v>436</v>
      </c>
      <c r="K54" s="7" t="s">
        <v>153</v>
      </c>
      <c r="L54" s="7" t="s">
        <v>154</v>
      </c>
      <c r="M54" s="7" t="s">
        <v>162</v>
      </c>
      <c r="N54" s="8"/>
      <c r="O54" s="8"/>
      <c r="P54" s="8"/>
      <c r="Q54" s="8"/>
      <c r="R54" s="8"/>
      <c r="S54" s="8"/>
      <c r="T54" s="8"/>
    </row>
    <row r="55" spans="1:20" x14ac:dyDescent="0.25">
      <c r="A55">
        <v>365</v>
      </c>
      <c r="B55" t="s">
        <v>437</v>
      </c>
      <c r="C55" t="s">
        <v>145</v>
      </c>
      <c r="D55" t="s">
        <v>146</v>
      </c>
      <c r="E55" t="s">
        <v>438</v>
      </c>
      <c r="F55" t="s">
        <v>439</v>
      </c>
      <c r="G55" t="s">
        <v>149</v>
      </c>
      <c r="H55" t="s">
        <v>150</v>
      </c>
      <c r="I55" t="s">
        <v>440</v>
      </c>
      <c r="K55" t="s">
        <v>153</v>
      </c>
      <c r="L55" t="s">
        <v>85</v>
      </c>
      <c r="M55" t="s">
        <v>145</v>
      </c>
      <c r="N55" s="8"/>
      <c r="O55" s="8"/>
      <c r="P55" s="8"/>
      <c r="Q55" s="8"/>
      <c r="R55" s="8"/>
      <c r="S55" s="8"/>
      <c r="T55" s="8"/>
    </row>
    <row r="56" spans="1:20" x14ac:dyDescent="0.25">
      <c r="A56" s="7">
        <v>454</v>
      </c>
      <c r="B56" s="7" t="s">
        <v>441</v>
      </c>
      <c r="C56" s="7" t="s">
        <v>442</v>
      </c>
      <c r="D56" s="7" t="s">
        <v>304</v>
      </c>
      <c r="E56" s="7" t="s">
        <v>443</v>
      </c>
      <c r="F56" s="7" t="s">
        <v>444</v>
      </c>
      <c r="G56" s="7" t="s">
        <v>198</v>
      </c>
      <c r="H56" s="7" t="s">
        <v>150</v>
      </c>
      <c r="I56" s="7" t="s">
        <v>445</v>
      </c>
      <c r="J56" s="7" t="s">
        <v>446</v>
      </c>
      <c r="K56" s="7" t="s">
        <v>153</v>
      </c>
      <c r="L56" s="7" t="s">
        <v>85</v>
      </c>
      <c r="M56" s="7" t="s">
        <v>162</v>
      </c>
      <c r="N56" s="8"/>
      <c r="O56" s="8"/>
      <c r="P56" s="8"/>
      <c r="Q56" s="8"/>
      <c r="R56" s="8"/>
      <c r="S56" s="8"/>
      <c r="T56" s="8"/>
    </row>
    <row r="57" spans="1:20" x14ac:dyDescent="0.25">
      <c r="A57">
        <v>598</v>
      </c>
      <c r="B57" t="s">
        <v>447</v>
      </c>
      <c r="C57" t="s">
        <v>442</v>
      </c>
      <c r="D57" t="s">
        <v>304</v>
      </c>
      <c r="E57" t="s">
        <v>443</v>
      </c>
      <c r="F57" t="s">
        <v>448</v>
      </c>
      <c r="G57" t="s">
        <v>221</v>
      </c>
      <c r="H57" t="s">
        <v>150</v>
      </c>
      <c r="I57" t="s">
        <v>449</v>
      </c>
      <c r="J57" t="s">
        <v>450</v>
      </c>
      <c r="K57" t="s">
        <v>153</v>
      </c>
      <c r="L57" t="s">
        <v>154</v>
      </c>
      <c r="M57" t="s">
        <v>145</v>
      </c>
      <c r="N57" s="8"/>
      <c r="O57" s="8"/>
      <c r="P57" s="8"/>
      <c r="Q57" s="8"/>
      <c r="R57" s="8"/>
      <c r="S57" s="8"/>
      <c r="T57" s="8"/>
    </row>
    <row r="58" spans="1:20" x14ac:dyDescent="0.25">
      <c r="A58" s="7">
        <v>596</v>
      </c>
      <c r="B58" s="7" t="s">
        <v>451</v>
      </c>
      <c r="C58" s="7" t="s">
        <v>442</v>
      </c>
      <c r="D58" s="7" t="s">
        <v>304</v>
      </c>
      <c r="E58" s="7" t="s">
        <v>443</v>
      </c>
      <c r="F58" s="7" t="s">
        <v>452</v>
      </c>
      <c r="G58" s="7" t="s">
        <v>198</v>
      </c>
      <c r="H58" s="7" t="s">
        <v>150</v>
      </c>
      <c r="I58" s="7" t="s">
        <v>453</v>
      </c>
      <c r="J58" s="7" t="s">
        <v>450</v>
      </c>
      <c r="K58" s="7" t="s">
        <v>153</v>
      </c>
      <c r="L58" s="7" t="s">
        <v>154</v>
      </c>
      <c r="M58" s="7" t="s">
        <v>145</v>
      </c>
      <c r="N58" s="8"/>
      <c r="O58" s="8"/>
      <c r="P58" s="8"/>
      <c r="Q58" s="8"/>
      <c r="R58" s="8"/>
      <c r="S58" s="8"/>
      <c r="T58" s="8"/>
    </row>
    <row r="59" spans="1:20" x14ac:dyDescent="0.25">
      <c r="A59">
        <v>597</v>
      </c>
      <c r="B59" t="s">
        <v>454</v>
      </c>
      <c r="C59" t="s">
        <v>442</v>
      </c>
      <c r="D59" t="s">
        <v>304</v>
      </c>
      <c r="E59" t="s">
        <v>443</v>
      </c>
      <c r="F59" t="s">
        <v>455</v>
      </c>
      <c r="G59" t="s">
        <v>198</v>
      </c>
      <c r="H59" t="s">
        <v>150</v>
      </c>
      <c r="I59" t="s">
        <v>456</v>
      </c>
      <c r="J59" t="s">
        <v>450</v>
      </c>
      <c r="K59" t="s">
        <v>153</v>
      </c>
      <c r="L59" t="s">
        <v>154</v>
      </c>
      <c r="M59" t="s">
        <v>145</v>
      </c>
      <c r="N59" s="8"/>
      <c r="O59" s="8"/>
      <c r="P59" s="8"/>
      <c r="Q59" s="8"/>
      <c r="R59" s="8"/>
      <c r="S59" s="8"/>
      <c r="T59" s="8"/>
    </row>
    <row r="60" spans="1:20" x14ac:dyDescent="0.25">
      <c r="A60" s="7">
        <v>599</v>
      </c>
      <c r="B60" s="7" t="s">
        <v>457</v>
      </c>
      <c r="C60" s="7" t="s">
        <v>442</v>
      </c>
      <c r="D60" s="7" t="s">
        <v>304</v>
      </c>
      <c r="E60" s="7" t="s">
        <v>443</v>
      </c>
      <c r="F60" s="7" t="s">
        <v>458</v>
      </c>
      <c r="G60" s="7" t="s">
        <v>221</v>
      </c>
      <c r="H60" s="7" t="s">
        <v>150</v>
      </c>
      <c r="I60" s="7" t="s">
        <v>459</v>
      </c>
      <c r="J60" s="7" t="s">
        <v>450</v>
      </c>
      <c r="K60" s="7" t="s">
        <v>153</v>
      </c>
      <c r="L60" s="7" t="s">
        <v>154</v>
      </c>
      <c r="M60" s="7" t="s">
        <v>145</v>
      </c>
      <c r="N60" s="8"/>
      <c r="O60" s="8"/>
      <c r="P60" s="8"/>
      <c r="Q60" s="8"/>
      <c r="R60" s="8"/>
      <c r="S60" s="8"/>
      <c r="T60" s="8"/>
    </row>
    <row r="61" spans="1:20" x14ac:dyDescent="0.25">
      <c r="A61">
        <v>600</v>
      </c>
      <c r="B61" t="s">
        <v>460</v>
      </c>
      <c r="C61" t="s">
        <v>442</v>
      </c>
      <c r="D61" t="s">
        <v>304</v>
      </c>
      <c r="E61" t="s">
        <v>443</v>
      </c>
      <c r="F61" t="s">
        <v>461</v>
      </c>
      <c r="G61" t="s">
        <v>221</v>
      </c>
      <c r="H61" t="s">
        <v>150</v>
      </c>
      <c r="I61" t="s">
        <v>462</v>
      </c>
      <c r="J61" t="s">
        <v>450</v>
      </c>
      <c r="K61" t="s">
        <v>153</v>
      </c>
      <c r="L61" t="s">
        <v>154</v>
      </c>
      <c r="M61" t="s">
        <v>145</v>
      </c>
      <c r="N61" s="8"/>
      <c r="O61" s="8"/>
      <c r="P61" s="8"/>
      <c r="Q61" s="8"/>
      <c r="R61" s="8"/>
      <c r="S61" s="8"/>
      <c r="T61" s="8"/>
    </row>
    <row r="62" spans="1:20" x14ac:dyDescent="0.25">
      <c r="A62" s="7">
        <v>847</v>
      </c>
      <c r="B62" s="7" t="s">
        <v>463</v>
      </c>
      <c r="C62" s="7" t="s">
        <v>145</v>
      </c>
      <c r="D62" s="7" t="s">
        <v>145</v>
      </c>
      <c r="E62" s="7" t="s">
        <v>464</v>
      </c>
      <c r="F62" s="7" t="s">
        <v>465</v>
      </c>
      <c r="G62" s="7" t="s">
        <v>466</v>
      </c>
      <c r="H62" s="7" t="s">
        <v>150</v>
      </c>
      <c r="I62" s="7" t="s">
        <v>467</v>
      </c>
      <c r="J62" s="7" t="s">
        <v>468</v>
      </c>
      <c r="K62" s="7" t="s">
        <v>153</v>
      </c>
      <c r="L62" s="7" t="s">
        <v>154</v>
      </c>
      <c r="M62" s="7" t="s">
        <v>162</v>
      </c>
      <c r="N62" s="8"/>
      <c r="O62" s="8"/>
      <c r="P62" s="8"/>
      <c r="Q62" s="8"/>
      <c r="R62" s="8"/>
      <c r="S62" s="8"/>
      <c r="T62" s="8"/>
    </row>
    <row r="63" spans="1:20" x14ac:dyDescent="0.25">
      <c r="A63">
        <v>918</v>
      </c>
      <c r="B63" t="s">
        <v>469</v>
      </c>
      <c r="C63" t="s">
        <v>145</v>
      </c>
      <c r="D63" t="s">
        <v>145</v>
      </c>
      <c r="E63" t="s">
        <v>470</v>
      </c>
      <c r="F63" t="s">
        <v>471</v>
      </c>
      <c r="G63" t="s">
        <v>472</v>
      </c>
      <c r="H63" t="s">
        <v>150</v>
      </c>
      <c r="I63" t="s">
        <v>473</v>
      </c>
      <c r="J63" t="s">
        <v>474</v>
      </c>
      <c r="K63" t="s">
        <v>153</v>
      </c>
      <c r="L63" t="s">
        <v>154</v>
      </c>
      <c r="M63" t="s">
        <v>162</v>
      </c>
      <c r="N63" s="8"/>
      <c r="O63" s="8"/>
      <c r="P63" s="8"/>
      <c r="Q63" s="8"/>
      <c r="R63" s="8"/>
      <c r="S63" s="8"/>
      <c r="T63" s="8"/>
    </row>
    <row r="64" spans="1:20" x14ac:dyDescent="0.25">
      <c r="A64" s="7">
        <v>565</v>
      </c>
      <c r="B64" s="7" t="s">
        <v>475</v>
      </c>
      <c r="C64" s="7" t="s">
        <v>145</v>
      </c>
      <c r="D64" s="7" t="s">
        <v>146</v>
      </c>
      <c r="E64" s="7" t="s">
        <v>476</v>
      </c>
      <c r="F64" s="7" t="s">
        <v>477</v>
      </c>
      <c r="G64" s="7" t="s">
        <v>159</v>
      </c>
      <c r="H64" s="7" t="s">
        <v>150</v>
      </c>
      <c r="I64" s="7" t="s">
        <v>478</v>
      </c>
      <c r="J64" s="7" t="s">
        <v>479</v>
      </c>
      <c r="K64" s="7" t="s">
        <v>153</v>
      </c>
      <c r="L64" s="7" t="s">
        <v>275</v>
      </c>
      <c r="M64" s="7" t="s">
        <v>145</v>
      </c>
      <c r="N64" s="8"/>
      <c r="O64" s="8"/>
      <c r="P64" s="8"/>
      <c r="Q64" s="8"/>
      <c r="R64" s="8"/>
      <c r="S64" s="8"/>
      <c r="T64" s="8"/>
    </row>
    <row r="65" spans="1:20" x14ac:dyDescent="0.25">
      <c r="A65">
        <v>541</v>
      </c>
      <c r="B65" t="s">
        <v>480</v>
      </c>
      <c r="C65" t="s">
        <v>481</v>
      </c>
      <c r="D65" t="s">
        <v>304</v>
      </c>
      <c r="E65" t="s">
        <v>482</v>
      </c>
      <c r="F65" t="s">
        <v>483</v>
      </c>
      <c r="G65" t="s">
        <v>159</v>
      </c>
      <c r="H65" t="s">
        <v>150</v>
      </c>
      <c r="I65" t="s">
        <v>484</v>
      </c>
      <c r="J65" t="s">
        <v>485</v>
      </c>
      <c r="K65" t="s">
        <v>153</v>
      </c>
      <c r="L65" t="s">
        <v>154</v>
      </c>
      <c r="M65" t="s">
        <v>162</v>
      </c>
      <c r="N65" s="8"/>
      <c r="O65" s="8"/>
      <c r="P65" s="8"/>
      <c r="Q65" s="8"/>
      <c r="R65" s="8"/>
      <c r="S65" s="8"/>
      <c r="T65" s="8"/>
    </row>
    <row r="66" spans="1:20" x14ac:dyDescent="0.25">
      <c r="A66" s="7">
        <v>540</v>
      </c>
      <c r="B66" s="7" t="s">
        <v>486</v>
      </c>
      <c r="C66" s="7" t="s">
        <v>481</v>
      </c>
      <c r="D66" s="7" t="s">
        <v>304</v>
      </c>
      <c r="E66" s="7" t="s">
        <v>482</v>
      </c>
      <c r="F66" s="7" t="s">
        <v>487</v>
      </c>
      <c r="G66" s="7" t="s">
        <v>159</v>
      </c>
      <c r="H66" s="7" t="s">
        <v>150</v>
      </c>
      <c r="I66" s="7" t="s">
        <v>488</v>
      </c>
      <c r="J66" s="7" t="s">
        <v>489</v>
      </c>
      <c r="K66" s="7" t="s">
        <v>153</v>
      </c>
      <c r="L66" s="7" t="s">
        <v>154</v>
      </c>
      <c r="M66" s="7" t="s">
        <v>162</v>
      </c>
      <c r="N66" s="8"/>
      <c r="O66" s="8"/>
      <c r="P66" s="8"/>
      <c r="Q66" s="8"/>
      <c r="R66" s="8"/>
      <c r="S66" s="8"/>
      <c r="T66" s="8"/>
    </row>
    <row r="67" spans="1:20" x14ac:dyDescent="0.25">
      <c r="A67">
        <v>542</v>
      </c>
      <c r="B67" t="s">
        <v>490</v>
      </c>
      <c r="C67" t="s">
        <v>481</v>
      </c>
      <c r="D67" t="s">
        <v>304</v>
      </c>
      <c r="E67" t="s">
        <v>482</v>
      </c>
      <c r="F67" t="s">
        <v>491</v>
      </c>
      <c r="G67" t="s">
        <v>238</v>
      </c>
      <c r="H67" t="s">
        <v>150</v>
      </c>
      <c r="I67" t="s">
        <v>492</v>
      </c>
      <c r="J67" t="s">
        <v>493</v>
      </c>
      <c r="K67" t="s">
        <v>153</v>
      </c>
      <c r="L67" t="s">
        <v>154</v>
      </c>
      <c r="M67" t="s">
        <v>162</v>
      </c>
      <c r="N67" s="8"/>
      <c r="O67" s="8"/>
      <c r="P67" s="8"/>
      <c r="Q67" s="8"/>
      <c r="R67" s="8"/>
      <c r="S67" s="8"/>
      <c r="T67" s="8"/>
    </row>
    <row r="68" spans="1:20" x14ac:dyDescent="0.25">
      <c r="A68" s="7">
        <v>383</v>
      </c>
      <c r="B68" s="7" t="s">
        <v>494</v>
      </c>
      <c r="C68" s="7" t="s">
        <v>145</v>
      </c>
      <c r="D68" s="7" t="s">
        <v>346</v>
      </c>
      <c r="E68" s="7" t="s">
        <v>494</v>
      </c>
      <c r="F68" s="7" t="s">
        <v>495</v>
      </c>
      <c r="G68" s="7" t="s">
        <v>496</v>
      </c>
      <c r="H68" s="7" t="s">
        <v>150</v>
      </c>
      <c r="I68" s="7" t="s">
        <v>497</v>
      </c>
      <c r="J68" s="7" t="s">
        <v>498</v>
      </c>
      <c r="K68" s="7" t="s">
        <v>153</v>
      </c>
      <c r="L68" s="7" t="s">
        <v>154</v>
      </c>
      <c r="M68" s="7" t="s">
        <v>162</v>
      </c>
      <c r="N68" s="8"/>
      <c r="O68" s="8"/>
      <c r="P68" s="8"/>
      <c r="Q68" s="8"/>
      <c r="R68" s="8"/>
      <c r="S68" s="8"/>
      <c r="T68" s="8"/>
    </row>
    <row r="69" spans="1:20" x14ac:dyDescent="0.25">
      <c r="A69">
        <v>791</v>
      </c>
      <c r="B69" t="s">
        <v>499</v>
      </c>
      <c r="C69" t="s">
        <v>145</v>
      </c>
      <c r="D69" t="s">
        <v>145</v>
      </c>
      <c r="E69" t="s">
        <v>500</v>
      </c>
      <c r="F69" t="s">
        <v>501</v>
      </c>
      <c r="G69" t="s">
        <v>502</v>
      </c>
      <c r="H69" t="s">
        <v>150</v>
      </c>
      <c r="I69" t="s">
        <v>503</v>
      </c>
      <c r="J69" t="s">
        <v>504</v>
      </c>
      <c r="K69" t="s">
        <v>153</v>
      </c>
      <c r="L69" t="s">
        <v>154</v>
      </c>
      <c r="M69" t="s">
        <v>162</v>
      </c>
      <c r="N69" s="8"/>
      <c r="O69" s="8"/>
      <c r="P69" s="8"/>
      <c r="Q69" s="8"/>
      <c r="R69" s="8"/>
      <c r="S69" s="8"/>
      <c r="T69" s="8"/>
    </row>
    <row r="70" spans="1:20" x14ac:dyDescent="0.25">
      <c r="A70" s="7">
        <v>604</v>
      </c>
      <c r="B70" s="7" t="s">
        <v>505</v>
      </c>
      <c r="C70" s="7" t="s">
        <v>145</v>
      </c>
      <c r="D70" s="7" t="s">
        <v>417</v>
      </c>
      <c r="E70" s="7" t="s">
        <v>505</v>
      </c>
      <c r="F70" s="7" t="s">
        <v>506</v>
      </c>
      <c r="G70" s="7" t="s">
        <v>171</v>
      </c>
      <c r="H70" s="7" t="s">
        <v>150</v>
      </c>
      <c r="I70" s="7" t="s">
        <v>507</v>
      </c>
      <c r="J70" s="7" t="s">
        <v>508</v>
      </c>
      <c r="K70" s="7" t="s">
        <v>153</v>
      </c>
      <c r="L70" s="7" t="s">
        <v>154</v>
      </c>
      <c r="M70" s="7" t="s">
        <v>162</v>
      </c>
      <c r="N70" s="8"/>
      <c r="O70" s="8"/>
      <c r="P70" s="8"/>
      <c r="Q70" s="8"/>
      <c r="R70" s="8"/>
      <c r="S70" s="8"/>
      <c r="T70" s="8"/>
    </row>
    <row r="71" spans="1:20" x14ac:dyDescent="0.25">
      <c r="A71">
        <v>345</v>
      </c>
      <c r="B71" t="s">
        <v>509</v>
      </c>
      <c r="C71" t="s">
        <v>145</v>
      </c>
      <c r="D71" t="s">
        <v>417</v>
      </c>
      <c r="E71" t="s">
        <v>510</v>
      </c>
      <c r="F71" t="s">
        <v>511</v>
      </c>
      <c r="G71" t="s">
        <v>149</v>
      </c>
      <c r="H71" t="s">
        <v>150</v>
      </c>
      <c r="I71" t="s">
        <v>512</v>
      </c>
      <c r="J71" t="s">
        <v>513</v>
      </c>
      <c r="K71" t="s">
        <v>153</v>
      </c>
      <c r="L71" t="s">
        <v>154</v>
      </c>
      <c r="M71" t="s">
        <v>162</v>
      </c>
      <c r="N71" s="8"/>
      <c r="O71" s="8"/>
      <c r="P71" s="8"/>
      <c r="Q71" s="8"/>
      <c r="R71" s="8"/>
      <c r="S71" s="8"/>
      <c r="T71" s="8"/>
    </row>
    <row r="72" spans="1:20" x14ac:dyDescent="0.25">
      <c r="A72" s="7">
        <v>468</v>
      </c>
      <c r="B72" s="7" t="s">
        <v>514</v>
      </c>
      <c r="C72" s="7" t="s">
        <v>145</v>
      </c>
      <c r="D72" s="7" t="s">
        <v>346</v>
      </c>
      <c r="E72" s="7" t="s">
        <v>515</v>
      </c>
      <c r="F72" s="7" t="s">
        <v>516</v>
      </c>
      <c r="G72" s="7" t="s">
        <v>502</v>
      </c>
      <c r="H72" s="7" t="s">
        <v>150</v>
      </c>
      <c r="I72" s="7" t="s">
        <v>517</v>
      </c>
      <c r="J72" s="7" t="s">
        <v>518</v>
      </c>
      <c r="K72" s="7" t="s">
        <v>153</v>
      </c>
      <c r="L72" s="7" t="s">
        <v>154</v>
      </c>
      <c r="M72" s="7" t="s">
        <v>145</v>
      </c>
      <c r="N72" s="8"/>
      <c r="O72" s="8"/>
      <c r="P72" s="8"/>
      <c r="Q72" s="8"/>
      <c r="R72" s="8"/>
      <c r="S72" s="8"/>
      <c r="T72" s="8"/>
    </row>
    <row r="73" spans="1:20" x14ac:dyDescent="0.25">
      <c r="A73">
        <v>661</v>
      </c>
      <c r="B73" t="s">
        <v>519</v>
      </c>
      <c r="C73" t="s">
        <v>145</v>
      </c>
      <c r="D73" t="s">
        <v>520</v>
      </c>
      <c r="E73" t="s">
        <v>521</v>
      </c>
      <c r="F73" t="s">
        <v>522</v>
      </c>
      <c r="G73" t="s">
        <v>183</v>
      </c>
      <c r="H73" t="s">
        <v>150</v>
      </c>
      <c r="K73" t="s">
        <v>153</v>
      </c>
      <c r="L73" t="s">
        <v>154</v>
      </c>
      <c r="M73" t="s">
        <v>145</v>
      </c>
      <c r="N73" s="8"/>
      <c r="O73" s="8"/>
      <c r="P73" s="8"/>
      <c r="Q73" s="8"/>
      <c r="R73" s="8"/>
      <c r="S73" s="8"/>
      <c r="T73" s="8"/>
    </row>
    <row r="74" spans="1:20" x14ac:dyDescent="0.25">
      <c r="A74" s="7">
        <v>381</v>
      </c>
      <c r="B74" s="7" t="s">
        <v>523</v>
      </c>
      <c r="C74" s="7" t="s">
        <v>145</v>
      </c>
      <c r="D74" s="7" t="s">
        <v>287</v>
      </c>
      <c r="E74" s="7" t="s">
        <v>524</v>
      </c>
      <c r="F74" s="7" t="s">
        <v>525</v>
      </c>
      <c r="G74" s="7" t="s">
        <v>526</v>
      </c>
      <c r="H74" s="7" t="s">
        <v>527</v>
      </c>
      <c r="I74" s="7" t="s">
        <v>528</v>
      </c>
      <c r="J74" s="7" t="s">
        <v>529</v>
      </c>
      <c r="K74" s="7" t="s">
        <v>153</v>
      </c>
      <c r="L74" s="7" t="s">
        <v>85</v>
      </c>
      <c r="M74" s="7" t="s">
        <v>162</v>
      </c>
      <c r="N74" s="8"/>
      <c r="O74" s="8"/>
      <c r="P74" s="8"/>
      <c r="Q74" s="8"/>
      <c r="R74" s="8"/>
      <c r="S74" s="8"/>
      <c r="T74" s="8"/>
    </row>
    <row r="75" spans="1:20" x14ac:dyDescent="0.25">
      <c r="A75">
        <v>701</v>
      </c>
      <c r="B75" t="s">
        <v>530</v>
      </c>
      <c r="C75" t="s">
        <v>145</v>
      </c>
      <c r="D75" t="s">
        <v>145</v>
      </c>
      <c r="E75" t="s">
        <v>531</v>
      </c>
      <c r="F75" t="s">
        <v>532</v>
      </c>
      <c r="G75" t="s">
        <v>533</v>
      </c>
      <c r="H75" t="s">
        <v>150</v>
      </c>
      <c r="I75" t="s">
        <v>534</v>
      </c>
      <c r="J75" t="s">
        <v>535</v>
      </c>
      <c r="K75" t="s">
        <v>153</v>
      </c>
      <c r="L75" t="s">
        <v>85</v>
      </c>
      <c r="M75" t="s">
        <v>162</v>
      </c>
      <c r="N75" s="8"/>
      <c r="O75" s="8"/>
      <c r="P75" s="8"/>
      <c r="Q75" s="8"/>
      <c r="R75" s="8"/>
      <c r="S75" s="8"/>
      <c r="T75" s="8"/>
    </row>
    <row r="76" spans="1:20" x14ac:dyDescent="0.25">
      <c r="A76" s="7">
        <v>377</v>
      </c>
      <c r="B76" s="7" t="s">
        <v>536</v>
      </c>
      <c r="C76" s="7" t="s">
        <v>145</v>
      </c>
      <c r="D76" s="7" t="s">
        <v>287</v>
      </c>
      <c r="E76" s="7" t="s">
        <v>537</v>
      </c>
      <c r="F76" s="7" t="s">
        <v>538</v>
      </c>
      <c r="G76" s="7" t="s">
        <v>539</v>
      </c>
      <c r="H76" s="7" t="s">
        <v>150</v>
      </c>
      <c r="I76" s="7" t="s">
        <v>540</v>
      </c>
      <c r="J76" s="7" t="s">
        <v>529</v>
      </c>
      <c r="K76" s="7" t="s">
        <v>153</v>
      </c>
      <c r="L76" s="7" t="s">
        <v>154</v>
      </c>
      <c r="M76" s="7" t="s">
        <v>162</v>
      </c>
      <c r="N76" s="8"/>
      <c r="O76" s="8"/>
      <c r="P76" s="8"/>
      <c r="Q76" s="8"/>
      <c r="R76" s="8"/>
      <c r="S76" s="8"/>
      <c r="T76" s="8"/>
    </row>
    <row r="77" spans="1:20" x14ac:dyDescent="0.25">
      <c r="A77">
        <v>429</v>
      </c>
      <c r="B77" t="s">
        <v>541</v>
      </c>
      <c r="C77" t="s">
        <v>145</v>
      </c>
      <c r="D77" t="s">
        <v>146</v>
      </c>
      <c r="E77" t="s">
        <v>542</v>
      </c>
      <c r="F77" t="s">
        <v>543</v>
      </c>
      <c r="G77" t="s">
        <v>221</v>
      </c>
      <c r="H77" t="s">
        <v>150</v>
      </c>
      <c r="I77" t="s">
        <v>544</v>
      </c>
      <c r="J77" t="s">
        <v>545</v>
      </c>
      <c r="K77" t="s">
        <v>153</v>
      </c>
      <c r="L77" t="s">
        <v>275</v>
      </c>
      <c r="M77" t="s">
        <v>145</v>
      </c>
      <c r="N77" s="8"/>
      <c r="O77" s="8"/>
      <c r="P77" s="8"/>
      <c r="Q77" s="8"/>
      <c r="R77" s="8"/>
      <c r="S77" s="8"/>
      <c r="T77" s="8"/>
    </row>
    <row r="78" spans="1:20" x14ac:dyDescent="0.25">
      <c r="A78" s="7">
        <v>550</v>
      </c>
      <c r="B78" s="7" t="s">
        <v>546</v>
      </c>
      <c r="C78" s="7" t="s">
        <v>145</v>
      </c>
      <c r="D78" s="7" t="s">
        <v>146</v>
      </c>
      <c r="E78" s="7" t="s">
        <v>547</v>
      </c>
      <c r="F78" s="7" t="s">
        <v>548</v>
      </c>
      <c r="G78" s="7" t="s">
        <v>198</v>
      </c>
      <c r="H78" s="7" t="s">
        <v>150</v>
      </c>
      <c r="I78" s="7" t="s">
        <v>549</v>
      </c>
      <c r="J78" s="7" t="s">
        <v>550</v>
      </c>
      <c r="K78" s="7" t="s">
        <v>153</v>
      </c>
      <c r="L78" s="7" t="s">
        <v>85</v>
      </c>
      <c r="M78" s="7" t="s">
        <v>145</v>
      </c>
      <c r="N78" s="8"/>
      <c r="O78" s="8"/>
      <c r="P78" s="8"/>
      <c r="Q78" s="8"/>
      <c r="R78" s="8"/>
      <c r="S78" s="8"/>
      <c r="T78" s="8"/>
    </row>
    <row r="79" spans="1:20" x14ac:dyDescent="0.25">
      <c r="A79">
        <v>756</v>
      </c>
      <c r="B79" t="s">
        <v>551</v>
      </c>
      <c r="C79" t="s">
        <v>145</v>
      </c>
      <c r="D79" t="s">
        <v>145</v>
      </c>
      <c r="E79" t="s">
        <v>552</v>
      </c>
      <c r="F79" t="s">
        <v>553</v>
      </c>
      <c r="G79" t="s">
        <v>402</v>
      </c>
      <c r="H79" t="s">
        <v>150</v>
      </c>
      <c r="I79" t="s">
        <v>554</v>
      </c>
      <c r="J79" t="s">
        <v>555</v>
      </c>
      <c r="K79" t="s">
        <v>153</v>
      </c>
      <c r="L79" t="s">
        <v>154</v>
      </c>
      <c r="M79" t="s">
        <v>162</v>
      </c>
      <c r="N79" s="8"/>
      <c r="O79" s="8"/>
      <c r="P79" s="8"/>
      <c r="Q79" s="8"/>
      <c r="R79" s="8"/>
      <c r="S79" s="8"/>
      <c r="T79" s="8"/>
    </row>
    <row r="80" spans="1:20" x14ac:dyDescent="0.25">
      <c r="A80" s="7">
        <v>757</v>
      </c>
      <c r="B80" s="7" t="s">
        <v>556</v>
      </c>
      <c r="C80" s="7" t="s">
        <v>145</v>
      </c>
      <c r="D80" s="7" t="s">
        <v>145</v>
      </c>
      <c r="E80" s="7" t="s">
        <v>557</v>
      </c>
      <c r="F80" s="7" t="s">
        <v>558</v>
      </c>
      <c r="G80" s="7" t="s">
        <v>502</v>
      </c>
      <c r="H80" s="7" t="s">
        <v>150</v>
      </c>
      <c r="I80" s="7" t="s">
        <v>559</v>
      </c>
      <c r="J80" s="7" t="s">
        <v>555</v>
      </c>
      <c r="K80" s="7" t="s">
        <v>153</v>
      </c>
      <c r="L80" s="7" t="s">
        <v>154</v>
      </c>
      <c r="M80" s="7" t="s">
        <v>162</v>
      </c>
      <c r="N80" s="8"/>
      <c r="O80" s="8"/>
      <c r="P80" s="8"/>
      <c r="Q80" s="8"/>
      <c r="R80" s="8"/>
      <c r="S80" s="8"/>
      <c r="T80" s="8"/>
    </row>
    <row r="81" spans="1:20" x14ac:dyDescent="0.25">
      <c r="A81">
        <v>839</v>
      </c>
      <c r="B81" t="s">
        <v>560</v>
      </c>
      <c r="C81" t="s">
        <v>145</v>
      </c>
      <c r="D81" t="s">
        <v>145</v>
      </c>
      <c r="E81" t="s">
        <v>561</v>
      </c>
      <c r="F81" t="s">
        <v>562</v>
      </c>
      <c r="G81" t="s">
        <v>502</v>
      </c>
      <c r="H81" t="s">
        <v>150</v>
      </c>
      <c r="I81" t="s">
        <v>563</v>
      </c>
      <c r="J81" t="s">
        <v>564</v>
      </c>
      <c r="K81" t="s">
        <v>153</v>
      </c>
      <c r="L81" t="s">
        <v>154</v>
      </c>
      <c r="M81" t="s">
        <v>162</v>
      </c>
      <c r="N81" s="8"/>
      <c r="O81" s="8"/>
      <c r="P81" s="8"/>
      <c r="Q81" s="8"/>
      <c r="R81" s="8"/>
      <c r="S81" s="8"/>
      <c r="T81" s="8"/>
    </row>
    <row r="82" spans="1:20" x14ac:dyDescent="0.25">
      <c r="A82" s="7">
        <v>635</v>
      </c>
      <c r="B82" s="7" t="s">
        <v>565</v>
      </c>
      <c r="C82" s="7" t="s">
        <v>145</v>
      </c>
      <c r="D82" s="7" t="s">
        <v>417</v>
      </c>
      <c r="E82" s="7" t="s">
        <v>566</v>
      </c>
      <c r="F82" s="7" t="s">
        <v>567</v>
      </c>
      <c r="G82" s="7" t="s">
        <v>183</v>
      </c>
      <c r="H82" s="7" t="s">
        <v>150</v>
      </c>
      <c r="I82" s="7" t="s">
        <v>568</v>
      </c>
      <c r="J82" s="7" t="s">
        <v>569</v>
      </c>
      <c r="K82" s="7" t="s">
        <v>153</v>
      </c>
      <c r="L82" s="7" t="s">
        <v>154</v>
      </c>
      <c r="M82" s="7" t="s">
        <v>145</v>
      </c>
      <c r="N82" s="8"/>
      <c r="O82" s="8"/>
      <c r="P82" s="8"/>
      <c r="Q82" s="8"/>
      <c r="R82" s="8"/>
      <c r="S82" s="8"/>
      <c r="T82" s="8"/>
    </row>
    <row r="83" spans="1:20" x14ac:dyDescent="0.25">
      <c r="A83">
        <v>679</v>
      </c>
      <c r="B83" t="s">
        <v>570</v>
      </c>
      <c r="C83" t="s">
        <v>145</v>
      </c>
      <c r="D83" t="s">
        <v>417</v>
      </c>
      <c r="E83" t="s">
        <v>571</v>
      </c>
      <c r="F83" t="s">
        <v>572</v>
      </c>
      <c r="G83" t="s">
        <v>171</v>
      </c>
      <c r="H83" t="s">
        <v>150</v>
      </c>
      <c r="I83" t="s">
        <v>573</v>
      </c>
      <c r="J83" t="s">
        <v>574</v>
      </c>
      <c r="K83" t="s">
        <v>153</v>
      </c>
      <c r="L83" t="s">
        <v>154</v>
      </c>
      <c r="M83" t="s">
        <v>145</v>
      </c>
      <c r="N83" s="8"/>
      <c r="O83" s="8"/>
      <c r="P83" s="8"/>
      <c r="Q83" s="8"/>
      <c r="R83" s="8"/>
      <c r="S83" s="8"/>
      <c r="T83" s="8"/>
    </row>
    <row r="84" spans="1:20" x14ac:dyDescent="0.25">
      <c r="A84" s="7">
        <v>784</v>
      </c>
      <c r="B84" s="7" t="s">
        <v>575</v>
      </c>
      <c r="C84" s="7" t="s">
        <v>145</v>
      </c>
      <c r="D84" s="7" t="s">
        <v>145</v>
      </c>
      <c r="E84" s="7" t="s">
        <v>576</v>
      </c>
      <c r="F84" s="7" t="s">
        <v>577</v>
      </c>
      <c r="G84" s="7" t="s">
        <v>578</v>
      </c>
      <c r="H84" s="7" t="s">
        <v>150</v>
      </c>
      <c r="I84" s="7"/>
      <c r="J84" s="7"/>
      <c r="K84" s="7" t="s">
        <v>153</v>
      </c>
      <c r="L84" s="7" t="s">
        <v>154</v>
      </c>
      <c r="M84" s="7" t="s">
        <v>162</v>
      </c>
      <c r="N84" s="8"/>
      <c r="O84" s="8"/>
      <c r="P84" s="8"/>
      <c r="Q84" s="8"/>
      <c r="R84" s="8"/>
      <c r="S84" s="8"/>
      <c r="T84" s="8"/>
    </row>
    <row r="85" spans="1:20" x14ac:dyDescent="0.25">
      <c r="A85">
        <v>458</v>
      </c>
      <c r="B85" t="s">
        <v>579</v>
      </c>
      <c r="C85" t="s">
        <v>145</v>
      </c>
      <c r="D85" t="s">
        <v>146</v>
      </c>
      <c r="E85" t="s">
        <v>580</v>
      </c>
      <c r="F85" t="s">
        <v>581</v>
      </c>
      <c r="G85" t="s">
        <v>159</v>
      </c>
      <c r="H85" t="s">
        <v>150</v>
      </c>
      <c r="I85" t="s">
        <v>582</v>
      </c>
      <c r="J85" t="s">
        <v>583</v>
      </c>
      <c r="K85" t="s">
        <v>153</v>
      </c>
      <c r="L85" t="s">
        <v>154</v>
      </c>
      <c r="M85" t="s">
        <v>145</v>
      </c>
      <c r="N85" s="8"/>
      <c r="O85" s="8"/>
      <c r="P85" s="8"/>
      <c r="Q85" s="8"/>
      <c r="R85" s="8"/>
      <c r="S85" s="8"/>
      <c r="T85" s="8"/>
    </row>
    <row r="86" spans="1:20" x14ac:dyDescent="0.25">
      <c r="A86" s="7">
        <v>873</v>
      </c>
      <c r="B86" s="7" t="s">
        <v>584</v>
      </c>
      <c r="C86" s="7" t="s">
        <v>585</v>
      </c>
      <c r="D86" s="7" t="s">
        <v>145</v>
      </c>
      <c r="E86" s="7" t="s">
        <v>586</v>
      </c>
      <c r="F86" s="7" t="s">
        <v>587</v>
      </c>
      <c r="G86" s="7" t="s">
        <v>183</v>
      </c>
      <c r="H86" s="7" t="s">
        <v>150</v>
      </c>
      <c r="I86" s="7" t="s">
        <v>588</v>
      </c>
      <c r="J86" s="7" t="s">
        <v>589</v>
      </c>
      <c r="K86" s="7" t="s">
        <v>153</v>
      </c>
      <c r="L86" s="7" t="s">
        <v>154</v>
      </c>
      <c r="M86" s="7" t="s">
        <v>162</v>
      </c>
      <c r="N86" s="8"/>
      <c r="O86" s="8"/>
      <c r="P86" s="8"/>
      <c r="Q86" s="8"/>
      <c r="R86" s="8"/>
      <c r="S86" s="8"/>
      <c r="T86" s="8"/>
    </row>
    <row r="87" spans="1:20" x14ac:dyDescent="0.25">
      <c r="A87">
        <v>759</v>
      </c>
      <c r="B87" t="s">
        <v>590</v>
      </c>
      <c r="C87" t="s">
        <v>145</v>
      </c>
      <c r="D87" t="s">
        <v>304</v>
      </c>
      <c r="E87" t="s">
        <v>591</v>
      </c>
      <c r="F87" t="s">
        <v>592</v>
      </c>
      <c r="G87" t="s">
        <v>593</v>
      </c>
      <c r="H87" t="s">
        <v>150</v>
      </c>
      <c r="K87" t="s">
        <v>153</v>
      </c>
      <c r="L87" t="s">
        <v>154</v>
      </c>
      <c r="M87" t="s">
        <v>162</v>
      </c>
      <c r="N87" s="8"/>
      <c r="O87" s="8"/>
      <c r="P87" s="8"/>
      <c r="Q87" s="8"/>
      <c r="R87" s="8"/>
      <c r="S87" s="8"/>
      <c r="T87" s="8"/>
    </row>
    <row r="88" spans="1:20" x14ac:dyDescent="0.25">
      <c r="A88" s="7">
        <v>669</v>
      </c>
      <c r="B88" s="7" t="s">
        <v>594</v>
      </c>
      <c r="C88" s="7" t="s">
        <v>595</v>
      </c>
      <c r="D88" s="7" t="s">
        <v>304</v>
      </c>
      <c r="E88" s="7" t="s">
        <v>596</v>
      </c>
      <c r="F88" s="7" t="s">
        <v>597</v>
      </c>
      <c r="G88" s="7" t="s">
        <v>598</v>
      </c>
      <c r="H88" s="7" t="s">
        <v>150</v>
      </c>
      <c r="I88" s="7" t="s">
        <v>599</v>
      </c>
      <c r="J88" s="7" t="s">
        <v>600</v>
      </c>
      <c r="K88" s="7" t="s">
        <v>153</v>
      </c>
      <c r="L88" s="7" t="s">
        <v>85</v>
      </c>
      <c r="M88" s="7" t="s">
        <v>162</v>
      </c>
      <c r="N88" s="8"/>
      <c r="O88" s="8"/>
      <c r="P88" s="8"/>
      <c r="Q88" s="8"/>
      <c r="R88" s="8"/>
      <c r="S88" s="8"/>
      <c r="T88" s="8"/>
    </row>
    <row r="89" spans="1:20" x14ac:dyDescent="0.25">
      <c r="A89">
        <v>573</v>
      </c>
      <c r="B89" t="s">
        <v>601</v>
      </c>
      <c r="C89" t="s">
        <v>595</v>
      </c>
      <c r="D89" t="s">
        <v>304</v>
      </c>
      <c r="E89" t="s">
        <v>596</v>
      </c>
      <c r="F89" t="s">
        <v>602</v>
      </c>
      <c r="G89" t="s">
        <v>603</v>
      </c>
      <c r="H89" t="s">
        <v>150</v>
      </c>
      <c r="I89" t="s">
        <v>604</v>
      </c>
      <c r="J89" t="s">
        <v>605</v>
      </c>
      <c r="K89" t="s">
        <v>153</v>
      </c>
      <c r="L89" t="s">
        <v>85</v>
      </c>
      <c r="M89" t="s">
        <v>162</v>
      </c>
      <c r="N89" s="8"/>
      <c r="O89" s="8"/>
      <c r="P89" s="8"/>
      <c r="Q89" s="8"/>
      <c r="R89" s="8"/>
      <c r="S89" s="8"/>
      <c r="T89" s="8"/>
    </row>
    <row r="90" spans="1:20" x14ac:dyDescent="0.25">
      <c r="A90" s="7">
        <v>482</v>
      </c>
      <c r="B90" s="7" t="s">
        <v>606</v>
      </c>
      <c r="C90" s="7" t="s">
        <v>145</v>
      </c>
      <c r="D90" s="7" t="s">
        <v>146</v>
      </c>
      <c r="E90" s="7" t="s">
        <v>607</v>
      </c>
      <c r="F90" s="7" t="s">
        <v>608</v>
      </c>
      <c r="G90" s="7" t="s">
        <v>198</v>
      </c>
      <c r="H90" s="7" t="s">
        <v>150</v>
      </c>
      <c r="I90" s="7" t="s">
        <v>609</v>
      </c>
      <c r="J90" s="7" t="s">
        <v>610</v>
      </c>
      <c r="K90" s="7" t="s">
        <v>153</v>
      </c>
      <c r="L90" s="7" t="s">
        <v>85</v>
      </c>
      <c r="M90" s="7" t="s">
        <v>145</v>
      </c>
      <c r="N90" s="8"/>
      <c r="O90" s="8"/>
      <c r="P90" s="8"/>
      <c r="Q90" s="8"/>
      <c r="R90" s="8"/>
      <c r="S90" s="8"/>
      <c r="T90" s="8"/>
    </row>
    <row r="91" spans="1:20" x14ac:dyDescent="0.25">
      <c r="A91">
        <v>484</v>
      </c>
      <c r="B91" t="s">
        <v>606</v>
      </c>
      <c r="C91" t="s">
        <v>145</v>
      </c>
      <c r="D91" t="s">
        <v>146</v>
      </c>
      <c r="E91" t="s">
        <v>611</v>
      </c>
      <c r="F91" t="s">
        <v>612</v>
      </c>
      <c r="G91" t="s">
        <v>198</v>
      </c>
      <c r="H91" t="s">
        <v>150</v>
      </c>
      <c r="I91" t="s">
        <v>609</v>
      </c>
      <c r="J91" t="s">
        <v>610</v>
      </c>
      <c r="K91" t="s">
        <v>153</v>
      </c>
      <c r="L91" t="s">
        <v>85</v>
      </c>
      <c r="M91" t="s">
        <v>145</v>
      </c>
      <c r="N91" s="8"/>
      <c r="O91" s="8"/>
      <c r="P91" s="8"/>
      <c r="Q91" s="8"/>
      <c r="R91" s="8"/>
      <c r="S91" s="8"/>
      <c r="T91" s="8"/>
    </row>
    <row r="92" spans="1:20" x14ac:dyDescent="0.25">
      <c r="A92" s="7">
        <v>483</v>
      </c>
      <c r="B92" s="7" t="s">
        <v>606</v>
      </c>
      <c r="C92" s="7" t="s">
        <v>145</v>
      </c>
      <c r="D92" s="7" t="s">
        <v>146</v>
      </c>
      <c r="E92" s="7" t="s">
        <v>613</v>
      </c>
      <c r="F92" s="7" t="s">
        <v>614</v>
      </c>
      <c r="G92" s="7" t="s">
        <v>615</v>
      </c>
      <c r="H92" s="7" t="s">
        <v>150</v>
      </c>
      <c r="I92" s="7" t="s">
        <v>609</v>
      </c>
      <c r="J92" s="7" t="s">
        <v>610</v>
      </c>
      <c r="K92" s="7" t="s">
        <v>153</v>
      </c>
      <c r="L92" s="7" t="s">
        <v>85</v>
      </c>
      <c r="M92" s="7" t="s">
        <v>145</v>
      </c>
      <c r="N92" s="8"/>
      <c r="O92" s="8"/>
      <c r="P92" s="8"/>
      <c r="Q92" s="8"/>
      <c r="R92" s="8"/>
      <c r="S92" s="8"/>
      <c r="T92" s="8"/>
    </row>
    <row r="93" spans="1:20" x14ac:dyDescent="0.25">
      <c r="A93">
        <v>456</v>
      </c>
      <c r="B93" t="s">
        <v>616</v>
      </c>
      <c r="C93" t="s">
        <v>145</v>
      </c>
      <c r="D93" t="s">
        <v>146</v>
      </c>
      <c r="E93" t="s">
        <v>617</v>
      </c>
      <c r="F93" t="s">
        <v>618</v>
      </c>
      <c r="G93" t="s">
        <v>159</v>
      </c>
      <c r="H93" t="s">
        <v>150</v>
      </c>
      <c r="I93" t="s">
        <v>619</v>
      </c>
      <c r="J93" t="s">
        <v>620</v>
      </c>
      <c r="K93" t="s">
        <v>153</v>
      </c>
      <c r="L93" t="s">
        <v>621</v>
      </c>
      <c r="M93" t="s">
        <v>145</v>
      </c>
      <c r="N93" s="8"/>
      <c r="O93" s="8"/>
      <c r="P93" s="8"/>
      <c r="Q93" s="8"/>
      <c r="R93" s="8"/>
      <c r="S93" s="8"/>
      <c r="T93" s="8"/>
    </row>
    <row r="94" spans="1:20" x14ac:dyDescent="0.25">
      <c r="A94" s="7">
        <v>389</v>
      </c>
      <c r="B94" s="7" t="s">
        <v>622</v>
      </c>
      <c r="C94" s="7" t="s">
        <v>145</v>
      </c>
      <c r="D94" s="7" t="s">
        <v>146</v>
      </c>
      <c r="E94" s="7" t="s">
        <v>623</v>
      </c>
      <c r="F94" s="7" t="s">
        <v>624</v>
      </c>
      <c r="G94" s="7" t="s">
        <v>198</v>
      </c>
      <c r="H94" s="7" t="s">
        <v>150</v>
      </c>
      <c r="I94" s="7" t="s">
        <v>625</v>
      </c>
      <c r="J94" s="7" t="s">
        <v>626</v>
      </c>
      <c r="K94" s="7" t="s">
        <v>153</v>
      </c>
      <c r="L94" s="7" t="s">
        <v>154</v>
      </c>
      <c r="M94" s="7" t="s">
        <v>145</v>
      </c>
      <c r="N94" s="8"/>
      <c r="O94" s="8"/>
      <c r="P94" s="8"/>
      <c r="Q94" s="8"/>
      <c r="R94" s="8"/>
      <c r="S94" s="8"/>
      <c r="T94" s="8"/>
    </row>
    <row r="95" spans="1:20" x14ac:dyDescent="0.25">
      <c r="A95">
        <v>569</v>
      </c>
      <c r="B95" t="s">
        <v>627</v>
      </c>
      <c r="C95" t="s">
        <v>145</v>
      </c>
      <c r="D95" t="s">
        <v>628</v>
      </c>
      <c r="E95" t="s">
        <v>629</v>
      </c>
      <c r="F95" t="s">
        <v>630</v>
      </c>
      <c r="G95" t="s">
        <v>183</v>
      </c>
      <c r="H95" t="s">
        <v>150</v>
      </c>
      <c r="I95" t="s">
        <v>631</v>
      </c>
      <c r="J95" t="s">
        <v>632</v>
      </c>
      <c r="K95" t="s">
        <v>153</v>
      </c>
      <c r="L95" t="s">
        <v>85</v>
      </c>
      <c r="M95" t="s">
        <v>145</v>
      </c>
      <c r="N95" s="8"/>
      <c r="O95" s="8"/>
      <c r="P95" s="8"/>
      <c r="Q95" s="8"/>
      <c r="R95" s="8"/>
      <c r="S95" s="8"/>
      <c r="T95" s="8"/>
    </row>
    <row r="96" spans="1:20" x14ac:dyDescent="0.25">
      <c r="A96" s="7">
        <v>634</v>
      </c>
      <c r="B96" s="7" t="s">
        <v>633</v>
      </c>
      <c r="C96" s="7" t="s">
        <v>145</v>
      </c>
      <c r="D96" s="7" t="s">
        <v>287</v>
      </c>
      <c r="E96" s="7" t="s">
        <v>634</v>
      </c>
      <c r="F96" s="7" t="s">
        <v>635</v>
      </c>
      <c r="G96" s="7" t="s">
        <v>502</v>
      </c>
      <c r="H96" s="7" t="s">
        <v>150</v>
      </c>
      <c r="I96" s="7" t="s">
        <v>636</v>
      </c>
      <c r="J96" s="7" t="s">
        <v>637</v>
      </c>
      <c r="K96" s="7" t="s">
        <v>153</v>
      </c>
      <c r="L96" s="7" t="s">
        <v>154</v>
      </c>
      <c r="M96" s="7" t="s">
        <v>145</v>
      </c>
      <c r="N96" s="8"/>
      <c r="O96" s="8"/>
      <c r="P96" s="8"/>
      <c r="Q96" s="8"/>
      <c r="R96" s="8"/>
      <c r="S96" s="8"/>
      <c r="T96" s="8"/>
    </row>
    <row r="97" spans="1:20" x14ac:dyDescent="0.25">
      <c r="A97">
        <v>426</v>
      </c>
      <c r="B97" t="s">
        <v>638</v>
      </c>
      <c r="C97" t="s">
        <v>145</v>
      </c>
      <c r="D97" t="s">
        <v>639</v>
      </c>
      <c r="E97" t="s">
        <v>640</v>
      </c>
      <c r="F97" t="s">
        <v>641</v>
      </c>
      <c r="G97" t="s">
        <v>198</v>
      </c>
      <c r="H97" t="s">
        <v>150</v>
      </c>
      <c r="I97" t="s">
        <v>642</v>
      </c>
      <c r="J97" t="s">
        <v>643</v>
      </c>
      <c r="K97" t="s">
        <v>153</v>
      </c>
      <c r="L97" t="s">
        <v>154</v>
      </c>
      <c r="M97" t="s">
        <v>162</v>
      </c>
      <c r="N97" s="8"/>
      <c r="O97" s="8"/>
      <c r="P97" s="8"/>
      <c r="Q97" s="8"/>
      <c r="R97" s="8"/>
      <c r="S97" s="8"/>
      <c r="T97" s="8"/>
    </row>
    <row r="98" spans="1:20" x14ac:dyDescent="0.25">
      <c r="A98" s="7">
        <v>726</v>
      </c>
      <c r="B98" s="7" t="s">
        <v>644</v>
      </c>
      <c r="C98" s="7" t="s">
        <v>145</v>
      </c>
      <c r="D98" s="7" t="s">
        <v>145</v>
      </c>
      <c r="E98" s="7" t="s">
        <v>645</v>
      </c>
      <c r="F98" s="7" t="s">
        <v>646</v>
      </c>
      <c r="G98" s="7" t="s">
        <v>647</v>
      </c>
      <c r="H98" s="7" t="s">
        <v>150</v>
      </c>
      <c r="I98" s="7" t="s">
        <v>648</v>
      </c>
      <c r="J98" s="7" t="s">
        <v>649</v>
      </c>
      <c r="K98" s="7" t="s">
        <v>153</v>
      </c>
      <c r="L98" s="7" t="s">
        <v>85</v>
      </c>
      <c r="M98" s="7" t="s">
        <v>145</v>
      </c>
      <c r="N98" s="8"/>
      <c r="O98" s="8"/>
      <c r="P98" s="8"/>
      <c r="Q98" s="8"/>
      <c r="R98" s="8"/>
      <c r="S98" s="8"/>
      <c r="T98" s="8"/>
    </row>
    <row r="99" spans="1:20" x14ac:dyDescent="0.25">
      <c r="A99">
        <v>774</v>
      </c>
      <c r="B99" t="s">
        <v>650</v>
      </c>
      <c r="C99" t="s">
        <v>145</v>
      </c>
      <c r="D99" t="s">
        <v>145</v>
      </c>
      <c r="E99" t="s">
        <v>650</v>
      </c>
      <c r="K99" t="s">
        <v>153</v>
      </c>
      <c r="L99" t="s">
        <v>85</v>
      </c>
      <c r="M99" t="s">
        <v>145</v>
      </c>
      <c r="N99" s="8"/>
      <c r="O99" s="8"/>
      <c r="P99" s="8"/>
      <c r="Q99" s="8"/>
      <c r="R99" s="8"/>
      <c r="S99" s="8"/>
      <c r="T99" s="8"/>
    </row>
    <row r="100" spans="1:20" x14ac:dyDescent="0.25">
      <c r="A100" s="7">
        <v>392</v>
      </c>
      <c r="B100" s="7" t="s">
        <v>651</v>
      </c>
      <c r="C100" s="7" t="s">
        <v>652</v>
      </c>
      <c r="D100" s="7" t="s">
        <v>304</v>
      </c>
      <c r="E100" s="7" t="s">
        <v>653</v>
      </c>
      <c r="F100" s="7" t="s">
        <v>654</v>
      </c>
      <c r="G100" s="7" t="s">
        <v>198</v>
      </c>
      <c r="H100" s="7" t="s">
        <v>150</v>
      </c>
      <c r="I100" s="7" t="s">
        <v>655</v>
      </c>
      <c r="J100" s="7" t="s">
        <v>656</v>
      </c>
      <c r="K100" s="7" t="s">
        <v>153</v>
      </c>
      <c r="L100" s="7" t="s">
        <v>85</v>
      </c>
      <c r="M100" s="7" t="s">
        <v>162</v>
      </c>
      <c r="N100" s="8"/>
      <c r="O100" s="8"/>
      <c r="P100" s="8"/>
      <c r="Q100" s="8"/>
      <c r="R100" s="8"/>
      <c r="S100" s="8"/>
      <c r="T100" s="8"/>
    </row>
    <row r="101" spans="1:20" x14ac:dyDescent="0.25">
      <c r="A101">
        <v>401</v>
      </c>
      <c r="B101" t="s">
        <v>657</v>
      </c>
      <c r="C101" t="s">
        <v>652</v>
      </c>
      <c r="D101" t="s">
        <v>304</v>
      </c>
      <c r="E101" t="s">
        <v>653</v>
      </c>
      <c r="F101" t="s">
        <v>658</v>
      </c>
      <c r="G101" t="s">
        <v>198</v>
      </c>
      <c r="H101" t="s">
        <v>150</v>
      </c>
      <c r="I101" t="s">
        <v>659</v>
      </c>
      <c r="J101" t="s">
        <v>660</v>
      </c>
      <c r="K101" t="s">
        <v>153</v>
      </c>
      <c r="L101" t="s">
        <v>85</v>
      </c>
      <c r="M101" t="s">
        <v>162</v>
      </c>
      <c r="N101" s="8"/>
      <c r="O101" s="8"/>
      <c r="P101" s="8"/>
      <c r="Q101" s="8"/>
      <c r="R101" s="8"/>
      <c r="S101" s="8"/>
      <c r="T101" s="8"/>
    </row>
    <row r="102" spans="1:20" x14ac:dyDescent="0.25">
      <c r="A102" s="7">
        <v>402</v>
      </c>
      <c r="B102" s="7" t="s">
        <v>661</v>
      </c>
      <c r="C102" s="7" t="s">
        <v>652</v>
      </c>
      <c r="D102" s="7" t="s">
        <v>304</v>
      </c>
      <c r="E102" s="7" t="s">
        <v>653</v>
      </c>
      <c r="F102" s="7" t="s">
        <v>662</v>
      </c>
      <c r="G102" s="7" t="s">
        <v>198</v>
      </c>
      <c r="H102" s="7" t="s">
        <v>150</v>
      </c>
      <c r="I102" s="7" t="s">
        <v>663</v>
      </c>
      <c r="J102" s="7" t="s">
        <v>664</v>
      </c>
      <c r="K102" s="7" t="s">
        <v>153</v>
      </c>
      <c r="L102" s="7" t="s">
        <v>85</v>
      </c>
      <c r="M102" s="7" t="s">
        <v>162</v>
      </c>
      <c r="N102" s="8"/>
      <c r="O102" s="8"/>
      <c r="P102" s="8"/>
      <c r="Q102" s="8"/>
      <c r="R102" s="8"/>
      <c r="S102" s="8"/>
      <c r="T102" s="8"/>
    </row>
    <row r="103" spans="1:20" x14ac:dyDescent="0.25">
      <c r="A103">
        <v>403</v>
      </c>
      <c r="B103" t="s">
        <v>665</v>
      </c>
      <c r="C103" t="s">
        <v>652</v>
      </c>
      <c r="D103" t="s">
        <v>304</v>
      </c>
      <c r="E103" t="s">
        <v>653</v>
      </c>
      <c r="F103" t="s">
        <v>666</v>
      </c>
      <c r="G103" t="s">
        <v>667</v>
      </c>
      <c r="H103" t="s">
        <v>150</v>
      </c>
      <c r="I103" t="s">
        <v>668</v>
      </c>
      <c r="J103" t="s">
        <v>669</v>
      </c>
      <c r="K103" t="s">
        <v>153</v>
      </c>
      <c r="L103" t="s">
        <v>85</v>
      </c>
      <c r="M103" t="s">
        <v>162</v>
      </c>
      <c r="N103" s="8"/>
      <c r="O103" s="8"/>
      <c r="P103" s="8"/>
      <c r="Q103" s="8"/>
      <c r="R103" s="8"/>
      <c r="S103" s="8"/>
      <c r="T103" s="8"/>
    </row>
    <row r="104" spans="1:20" x14ac:dyDescent="0.25">
      <c r="A104" s="7">
        <v>404</v>
      </c>
      <c r="B104" s="7" t="s">
        <v>670</v>
      </c>
      <c r="C104" s="7" t="s">
        <v>652</v>
      </c>
      <c r="D104" s="7" t="s">
        <v>304</v>
      </c>
      <c r="E104" s="7" t="s">
        <v>653</v>
      </c>
      <c r="F104" s="7" t="s">
        <v>671</v>
      </c>
      <c r="G104" s="7" t="s">
        <v>183</v>
      </c>
      <c r="H104" s="7" t="s">
        <v>150</v>
      </c>
      <c r="I104" s="7" t="s">
        <v>672</v>
      </c>
      <c r="J104" s="7" t="s">
        <v>673</v>
      </c>
      <c r="K104" s="7" t="s">
        <v>153</v>
      </c>
      <c r="L104" s="7" t="s">
        <v>85</v>
      </c>
      <c r="M104" s="7" t="s">
        <v>162</v>
      </c>
      <c r="N104" s="8"/>
      <c r="O104" s="8"/>
      <c r="P104" s="8"/>
      <c r="Q104" s="8"/>
      <c r="R104" s="8"/>
      <c r="S104" s="8"/>
      <c r="T104" s="8"/>
    </row>
    <row r="105" spans="1:20" x14ac:dyDescent="0.25">
      <c r="A105">
        <v>405</v>
      </c>
      <c r="B105" t="s">
        <v>674</v>
      </c>
      <c r="C105" t="s">
        <v>652</v>
      </c>
      <c r="D105" t="s">
        <v>304</v>
      </c>
      <c r="E105" t="s">
        <v>653</v>
      </c>
      <c r="F105" t="s">
        <v>675</v>
      </c>
      <c r="G105" t="s">
        <v>615</v>
      </c>
      <c r="H105" t="s">
        <v>150</v>
      </c>
      <c r="I105" t="s">
        <v>676</v>
      </c>
      <c r="J105" t="s">
        <v>677</v>
      </c>
      <c r="K105" t="s">
        <v>153</v>
      </c>
      <c r="L105" t="s">
        <v>85</v>
      </c>
      <c r="M105" t="s">
        <v>162</v>
      </c>
      <c r="N105" s="8"/>
      <c r="O105" s="8"/>
      <c r="P105" s="8"/>
      <c r="Q105" s="8"/>
      <c r="R105" s="8"/>
      <c r="S105" s="8"/>
      <c r="T105" s="8"/>
    </row>
    <row r="106" spans="1:20" x14ac:dyDescent="0.25">
      <c r="A106" s="7">
        <v>406</v>
      </c>
      <c r="B106" s="7" t="s">
        <v>678</v>
      </c>
      <c r="C106" s="7" t="s">
        <v>652</v>
      </c>
      <c r="D106" s="7" t="s">
        <v>304</v>
      </c>
      <c r="E106" s="7" t="s">
        <v>653</v>
      </c>
      <c r="F106" s="7" t="s">
        <v>679</v>
      </c>
      <c r="G106" s="7" t="s">
        <v>198</v>
      </c>
      <c r="H106" s="7" t="s">
        <v>150</v>
      </c>
      <c r="I106" s="7" t="s">
        <v>680</v>
      </c>
      <c r="J106" s="7" t="s">
        <v>681</v>
      </c>
      <c r="K106" s="7" t="s">
        <v>153</v>
      </c>
      <c r="L106" s="7" t="s">
        <v>85</v>
      </c>
      <c r="M106" s="7" t="s">
        <v>162</v>
      </c>
      <c r="N106" s="8"/>
      <c r="O106" s="8"/>
      <c r="P106" s="8"/>
      <c r="Q106" s="8"/>
      <c r="R106" s="8"/>
      <c r="S106" s="8"/>
      <c r="T106" s="8"/>
    </row>
    <row r="107" spans="1:20" x14ac:dyDescent="0.25">
      <c r="A107">
        <v>407</v>
      </c>
      <c r="B107" t="s">
        <v>682</v>
      </c>
      <c r="C107" t="s">
        <v>652</v>
      </c>
      <c r="D107" t="s">
        <v>304</v>
      </c>
      <c r="E107" t="s">
        <v>653</v>
      </c>
      <c r="F107" t="s">
        <v>683</v>
      </c>
      <c r="G107" t="s">
        <v>615</v>
      </c>
      <c r="H107" t="s">
        <v>150</v>
      </c>
      <c r="I107" t="s">
        <v>684</v>
      </c>
      <c r="J107" t="s">
        <v>685</v>
      </c>
      <c r="K107" t="s">
        <v>153</v>
      </c>
      <c r="L107" t="s">
        <v>85</v>
      </c>
      <c r="M107" t="s">
        <v>162</v>
      </c>
      <c r="N107" s="8"/>
      <c r="O107" s="8"/>
      <c r="P107" s="8"/>
      <c r="Q107" s="8"/>
      <c r="R107" s="8"/>
      <c r="S107" s="8"/>
      <c r="T107" s="8"/>
    </row>
    <row r="108" spans="1:20" x14ac:dyDescent="0.25">
      <c r="A108" s="7">
        <v>408</v>
      </c>
      <c r="B108" s="7" t="s">
        <v>686</v>
      </c>
      <c r="C108" s="7" t="s">
        <v>652</v>
      </c>
      <c r="D108" s="7" t="s">
        <v>304</v>
      </c>
      <c r="E108" s="7" t="s">
        <v>653</v>
      </c>
      <c r="F108" s="7" t="s">
        <v>687</v>
      </c>
      <c r="G108" s="7" t="s">
        <v>183</v>
      </c>
      <c r="H108" s="7" t="s">
        <v>150</v>
      </c>
      <c r="I108" s="7" t="s">
        <v>688</v>
      </c>
      <c r="J108" s="7" t="s">
        <v>689</v>
      </c>
      <c r="K108" s="7" t="s">
        <v>153</v>
      </c>
      <c r="L108" s="7" t="s">
        <v>85</v>
      </c>
      <c r="M108" s="7" t="s">
        <v>162</v>
      </c>
      <c r="N108" s="8"/>
      <c r="O108" s="8"/>
      <c r="P108" s="8"/>
      <c r="Q108" s="8"/>
      <c r="R108" s="8"/>
      <c r="S108" s="8"/>
      <c r="T108" s="8"/>
    </row>
    <row r="109" spans="1:20" x14ac:dyDescent="0.25">
      <c r="A109">
        <v>409</v>
      </c>
      <c r="B109" t="s">
        <v>690</v>
      </c>
      <c r="C109" t="s">
        <v>652</v>
      </c>
      <c r="D109" t="s">
        <v>304</v>
      </c>
      <c r="E109" t="s">
        <v>653</v>
      </c>
      <c r="F109" t="s">
        <v>691</v>
      </c>
      <c r="G109" t="s">
        <v>198</v>
      </c>
      <c r="H109" t="s">
        <v>150</v>
      </c>
      <c r="I109" t="s">
        <v>692</v>
      </c>
      <c r="J109" t="s">
        <v>693</v>
      </c>
      <c r="K109" t="s">
        <v>153</v>
      </c>
      <c r="L109" t="s">
        <v>85</v>
      </c>
      <c r="M109" t="s">
        <v>162</v>
      </c>
      <c r="N109" s="8"/>
      <c r="O109" s="8"/>
      <c r="P109" s="8"/>
      <c r="Q109" s="8"/>
      <c r="R109" s="8"/>
      <c r="S109" s="8"/>
      <c r="T109" s="8"/>
    </row>
    <row r="110" spans="1:20" x14ac:dyDescent="0.25">
      <c r="A110" s="7">
        <v>410</v>
      </c>
      <c r="B110" s="7" t="s">
        <v>694</v>
      </c>
      <c r="C110" s="7" t="s">
        <v>652</v>
      </c>
      <c r="D110" s="7" t="s">
        <v>304</v>
      </c>
      <c r="E110" s="7" t="s">
        <v>653</v>
      </c>
      <c r="F110" s="7" t="s">
        <v>695</v>
      </c>
      <c r="G110" s="7" t="s">
        <v>502</v>
      </c>
      <c r="H110" s="7" t="s">
        <v>150</v>
      </c>
      <c r="I110" s="7" t="s">
        <v>696</v>
      </c>
      <c r="J110" s="7" t="s">
        <v>697</v>
      </c>
      <c r="K110" s="7" t="s">
        <v>153</v>
      </c>
      <c r="L110" s="7" t="s">
        <v>85</v>
      </c>
      <c r="M110" s="7" t="s">
        <v>162</v>
      </c>
      <c r="N110" s="8"/>
      <c r="O110" s="8"/>
      <c r="P110" s="8"/>
      <c r="Q110" s="8"/>
      <c r="R110" s="8"/>
      <c r="S110" s="8"/>
      <c r="T110" s="8"/>
    </row>
    <row r="111" spans="1:20" x14ac:dyDescent="0.25">
      <c r="A111">
        <v>393</v>
      </c>
      <c r="B111" t="s">
        <v>698</v>
      </c>
      <c r="C111" t="s">
        <v>652</v>
      </c>
      <c r="D111" t="s">
        <v>304</v>
      </c>
      <c r="E111" t="s">
        <v>653</v>
      </c>
      <c r="F111" t="s">
        <v>699</v>
      </c>
      <c r="G111" t="s">
        <v>198</v>
      </c>
      <c r="H111" t="s">
        <v>150</v>
      </c>
      <c r="I111" t="s">
        <v>700</v>
      </c>
      <c r="J111" t="s">
        <v>701</v>
      </c>
      <c r="K111" t="s">
        <v>153</v>
      </c>
      <c r="L111" t="s">
        <v>85</v>
      </c>
      <c r="M111" t="s">
        <v>162</v>
      </c>
      <c r="N111" s="8"/>
      <c r="O111" s="8"/>
      <c r="P111" s="8"/>
      <c r="Q111" s="8"/>
      <c r="R111" s="8"/>
      <c r="S111" s="8"/>
      <c r="T111" s="8"/>
    </row>
    <row r="112" spans="1:20" x14ac:dyDescent="0.25">
      <c r="A112" s="7">
        <v>411</v>
      </c>
      <c r="B112" s="7" t="s">
        <v>702</v>
      </c>
      <c r="C112" s="7" t="s">
        <v>652</v>
      </c>
      <c r="D112" s="7" t="s">
        <v>304</v>
      </c>
      <c r="E112" s="7" t="s">
        <v>653</v>
      </c>
      <c r="F112" s="7" t="s">
        <v>703</v>
      </c>
      <c r="G112" s="7" t="s">
        <v>704</v>
      </c>
      <c r="H112" s="7" t="s">
        <v>150</v>
      </c>
      <c r="I112" s="7" t="s">
        <v>705</v>
      </c>
      <c r="J112" s="7" t="s">
        <v>706</v>
      </c>
      <c r="K112" s="7" t="s">
        <v>153</v>
      </c>
      <c r="L112" s="7" t="s">
        <v>85</v>
      </c>
      <c r="M112" s="7" t="s">
        <v>162</v>
      </c>
      <c r="N112" s="8"/>
      <c r="O112" s="8"/>
      <c r="P112" s="8"/>
      <c r="Q112" s="8"/>
      <c r="R112" s="8"/>
      <c r="S112" s="8"/>
      <c r="T112" s="8"/>
    </row>
    <row r="113" spans="1:20" x14ac:dyDescent="0.25">
      <c r="A113">
        <v>412</v>
      </c>
      <c r="B113" t="s">
        <v>707</v>
      </c>
      <c r="C113" t="s">
        <v>652</v>
      </c>
      <c r="D113" t="s">
        <v>304</v>
      </c>
      <c r="E113" t="s">
        <v>653</v>
      </c>
      <c r="F113" t="s">
        <v>708</v>
      </c>
      <c r="G113" t="s">
        <v>198</v>
      </c>
      <c r="H113" t="s">
        <v>150</v>
      </c>
      <c r="I113" t="s">
        <v>709</v>
      </c>
      <c r="J113" t="s">
        <v>710</v>
      </c>
      <c r="K113" t="s">
        <v>153</v>
      </c>
      <c r="L113" t="s">
        <v>85</v>
      </c>
      <c r="M113" t="s">
        <v>162</v>
      </c>
      <c r="N113" s="8"/>
      <c r="O113" s="8"/>
      <c r="P113" s="8"/>
      <c r="Q113" s="8"/>
      <c r="R113" s="8"/>
      <c r="S113" s="8"/>
      <c r="T113" s="8"/>
    </row>
    <row r="114" spans="1:20" x14ac:dyDescent="0.25">
      <c r="A114" s="7">
        <v>413</v>
      </c>
      <c r="B114" s="7" t="s">
        <v>711</v>
      </c>
      <c r="C114" s="7" t="s">
        <v>652</v>
      </c>
      <c r="D114" s="7" t="s">
        <v>304</v>
      </c>
      <c r="E114" s="7" t="s">
        <v>653</v>
      </c>
      <c r="F114" s="7" t="s">
        <v>712</v>
      </c>
      <c r="G114" s="7" t="s">
        <v>183</v>
      </c>
      <c r="H114" s="7" t="s">
        <v>150</v>
      </c>
      <c r="I114" s="7" t="s">
        <v>688</v>
      </c>
      <c r="J114" s="7" t="s">
        <v>713</v>
      </c>
      <c r="K114" s="7" t="s">
        <v>153</v>
      </c>
      <c r="L114" s="7" t="s">
        <v>85</v>
      </c>
      <c r="M114" s="7" t="s">
        <v>162</v>
      </c>
      <c r="N114" s="8"/>
      <c r="O114" s="8"/>
      <c r="P114" s="8"/>
      <c r="Q114" s="8"/>
      <c r="R114" s="8"/>
      <c r="S114" s="8"/>
      <c r="T114" s="8"/>
    </row>
    <row r="115" spans="1:20" x14ac:dyDescent="0.25">
      <c r="A115">
        <v>394</v>
      </c>
      <c r="B115" t="s">
        <v>714</v>
      </c>
      <c r="C115" t="s">
        <v>652</v>
      </c>
      <c r="D115" t="s">
        <v>304</v>
      </c>
      <c r="E115" t="s">
        <v>653</v>
      </c>
      <c r="F115" t="s">
        <v>715</v>
      </c>
      <c r="G115" t="s">
        <v>198</v>
      </c>
      <c r="H115" t="s">
        <v>150</v>
      </c>
      <c r="I115" t="s">
        <v>716</v>
      </c>
      <c r="J115" t="s">
        <v>717</v>
      </c>
      <c r="K115" t="s">
        <v>153</v>
      </c>
      <c r="L115" t="s">
        <v>85</v>
      </c>
      <c r="M115" t="s">
        <v>162</v>
      </c>
      <c r="N115" s="8"/>
      <c r="O115" s="8"/>
      <c r="P115" s="8"/>
      <c r="Q115" s="8"/>
      <c r="R115" s="8"/>
      <c r="S115" s="8"/>
      <c r="T115" s="8"/>
    </row>
    <row r="116" spans="1:20" x14ac:dyDescent="0.25">
      <c r="A116" s="7">
        <v>395</v>
      </c>
      <c r="B116" s="7" t="s">
        <v>718</v>
      </c>
      <c r="C116" s="7" t="s">
        <v>652</v>
      </c>
      <c r="D116" s="7" t="s">
        <v>304</v>
      </c>
      <c r="E116" s="7" t="s">
        <v>653</v>
      </c>
      <c r="F116" s="7" t="s">
        <v>719</v>
      </c>
      <c r="G116" s="7" t="s">
        <v>704</v>
      </c>
      <c r="H116" s="7" t="s">
        <v>150</v>
      </c>
      <c r="I116" s="7" t="s">
        <v>720</v>
      </c>
      <c r="J116" s="7" t="s">
        <v>721</v>
      </c>
      <c r="K116" s="7" t="s">
        <v>153</v>
      </c>
      <c r="L116" s="7" t="s">
        <v>85</v>
      </c>
      <c r="M116" s="7" t="s">
        <v>162</v>
      </c>
      <c r="N116" s="8"/>
      <c r="O116" s="8"/>
      <c r="P116" s="8"/>
      <c r="Q116" s="8"/>
      <c r="R116" s="8"/>
      <c r="S116" s="8"/>
      <c r="T116" s="8"/>
    </row>
    <row r="117" spans="1:20" x14ac:dyDescent="0.25">
      <c r="A117">
        <v>396</v>
      </c>
      <c r="B117" t="s">
        <v>722</v>
      </c>
      <c r="C117" t="s">
        <v>652</v>
      </c>
      <c r="D117" t="s">
        <v>304</v>
      </c>
      <c r="E117" t="s">
        <v>653</v>
      </c>
      <c r="F117" t="s">
        <v>723</v>
      </c>
      <c r="G117" t="s">
        <v>198</v>
      </c>
      <c r="H117" t="s">
        <v>150</v>
      </c>
      <c r="I117" t="s">
        <v>724</v>
      </c>
      <c r="J117" t="s">
        <v>725</v>
      </c>
      <c r="K117" t="s">
        <v>153</v>
      </c>
      <c r="L117" t="s">
        <v>85</v>
      </c>
      <c r="M117" t="s">
        <v>162</v>
      </c>
      <c r="N117" s="8"/>
      <c r="O117" s="8"/>
      <c r="P117" s="8"/>
      <c r="Q117" s="8"/>
      <c r="R117" s="8"/>
      <c r="S117" s="8"/>
      <c r="T117" s="8"/>
    </row>
    <row r="118" spans="1:20" x14ac:dyDescent="0.25">
      <c r="A118" s="7">
        <v>397</v>
      </c>
      <c r="B118" s="7" t="s">
        <v>726</v>
      </c>
      <c r="C118" s="7" t="s">
        <v>652</v>
      </c>
      <c r="D118" s="7" t="s">
        <v>304</v>
      </c>
      <c r="E118" s="7" t="s">
        <v>653</v>
      </c>
      <c r="F118" s="7" t="s">
        <v>727</v>
      </c>
      <c r="G118" s="7" t="s">
        <v>198</v>
      </c>
      <c r="H118" s="7" t="s">
        <v>150</v>
      </c>
      <c r="I118" s="7" t="s">
        <v>728</v>
      </c>
      <c r="J118" s="7" t="s">
        <v>729</v>
      </c>
      <c r="K118" s="7" t="s">
        <v>153</v>
      </c>
      <c r="L118" s="7" t="s">
        <v>85</v>
      </c>
      <c r="M118" s="7" t="s">
        <v>162</v>
      </c>
      <c r="N118" s="8"/>
      <c r="O118" s="8"/>
      <c r="P118" s="8"/>
      <c r="Q118" s="8"/>
      <c r="R118" s="8"/>
      <c r="S118" s="8"/>
      <c r="T118" s="8"/>
    </row>
    <row r="119" spans="1:20" x14ac:dyDescent="0.25">
      <c r="A119">
        <v>398</v>
      </c>
      <c r="B119" t="s">
        <v>730</v>
      </c>
      <c r="C119" t="s">
        <v>652</v>
      </c>
      <c r="D119" t="s">
        <v>304</v>
      </c>
      <c r="E119" t="s">
        <v>653</v>
      </c>
      <c r="F119" t="s">
        <v>731</v>
      </c>
      <c r="G119" t="s">
        <v>502</v>
      </c>
      <c r="H119" t="s">
        <v>150</v>
      </c>
      <c r="I119" t="s">
        <v>732</v>
      </c>
      <c r="J119" t="s">
        <v>733</v>
      </c>
      <c r="K119" t="s">
        <v>153</v>
      </c>
      <c r="L119" t="s">
        <v>85</v>
      </c>
      <c r="M119" t="s">
        <v>162</v>
      </c>
      <c r="N119" s="8"/>
      <c r="O119" s="8"/>
      <c r="P119" s="8"/>
      <c r="Q119" s="8"/>
      <c r="R119" s="8"/>
      <c r="S119" s="8"/>
      <c r="T119" s="8"/>
    </row>
    <row r="120" spans="1:20" x14ac:dyDescent="0.25">
      <c r="A120" s="7">
        <v>399</v>
      </c>
      <c r="B120" s="7" t="s">
        <v>734</v>
      </c>
      <c r="C120" s="7" t="s">
        <v>652</v>
      </c>
      <c r="D120" s="7" t="s">
        <v>304</v>
      </c>
      <c r="E120" s="7" t="s">
        <v>653</v>
      </c>
      <c r="F120" s="7" t="s">
        <v>735</v>
      </c>
      <c r="G120" s="7" t="s">
        <v>221</v>
      </c>
      <c r="H120" s="7" t="s">
        <v>150</v>
      </c>
      <c r="I120" s="7" t="s">
        <v>736</v>
      </c>
      <c r="J120" s="7" t="s">
        <v>737</v>
      </c>
      <c r="K120" s="7" t="s">
        <v>153</v>
      </c>
      <c r="L120" s="7" t="s">
        <v>154</v>
      </c>
      <c r="M120" s="7" t="s">
        <v>162</v>
      </c>
      <c r="N120" s="8"/>
      <c r="O120" s="8"/>
      <c r="P120" s="8"/>
      <c r="Q120" s="8"/>
      <c r="R120" s="8"/>
      <c r="S120" s="8"/>
      <c r="T120" s="8"/>
    </row>
    <row r="121" spans="1:20" x14ac:dyDescent="0.25">
      <c r="A121">
        <v>400</v>
      </c>
      <c r="B121" t="s">
        <v>738</v>
      </c>
      <c r="C121" t="s">
        <v>652</v>
      </c>
      <c r="D121" t="s">
        <v>304</v>
      </c>
      <c r="E121" t="s">
        <v>653</v>
      </c>
      <c r="F121" t="s">
        <v>739</v>
      </c>
      <c r="G121" t="s">
        <v>149</v>
      </c>
      <c r="H121" t="s">
        <v>150</v>
      </c>
      <c r="I121" t="s">
        <v>740</v>
      </c>
      <c r="J121" t="s">
        <v>741</v>
      </c>
      <c r="K121" t="s">
        <v>153</v>
      </c>
      <c r="L121" t="s">
        <v>85</v>
      </c>
      <c r="M121" t="s">
        <v>162</v>
      </c>
      <c r="N121" s="8"/>
      <c r="O121" s="8"/>
      <c r="P121" s="8"/>
      <c r="Q121" s="8"/>
      <c r="R121" s="8"/>
      <c r="S121" s="8"/>
      <c r="T121" s="8"/>
    </row>
    <row r="122" spans="1:20" x14ac:dyDescent="0.25">
      <c r="A122" s="7">
        <v>624</v>
      </c>
      <c r="B122" s="7" t="s">
        <v>742</v>
      </c>
      <c r="C122" s="7" t="s">
        <v>145</v>
      </c>
      <c r="D122" s="7" t="s">
        <v>743</v>
      </c>
      <c r="E122" s="7" t="s">
        <v>744</v>
      </c>
      <c r="F122" s="7" t="s">
        <v>745</v>
      </c>
      <c r="G122" s="7" t="s">
        <v>171</v>
      </c>
      <c r="H122" s="7" t="s">
        <v>150</v>
      </c>
      <c r="I122" s="7" t="s">
        <v>746</v>
      </c>
      <c r="J122" s="7" t="s">
        <v>747</v>
      </c>
      <c r="K122" s="7" t="s">
        <v>153</v>
      </c>
      <c r="L122" s="7" t="s">
        <v>154</v>
      </c>
      <c r="M122" s="7" t="s">
        <v>145</v>
      </c>
      <c r="N122" s="8"/>
      <c r="O122" s="8"/>
      <c r="P122" s="8"/>
      <c r="Q122" s="8"/>
      <c r="R122" s="8"/>
      <c r="S122" s="8"/>
      <c r="T122" s="8"/>
    </row>
    <row r="123" spans="1:20" x14ac:dyDescent="0.25">
      <c r="A123">
        <v>474</v>
      </c>
      <c r="B123" t="s">
        <v>748</v>
      </c>
      <c r="C123" t="s">
        <v>145</v>
      </c>
      <c r="D123" t="s">
        <v>304</v>
      </c>
      <c r="E123" t="s">
        <v>749</v>
      </c>
      <c r="F123" t="s">
        <v>750</v>
      </c>
      <c r="G123" t="s">
        <v>751</v>
      </c>
      <c r="H123" t="s">
        <v>150</v>
      </c>
      <c r="I123" t="s">
        <v>752</v>
      </c>
      <c r="K123" t="s">
        <v>153</v>
      </c>
      <c r="L123" t="s">
        <v>154</v>
      </c>
      <c r="M123" t="s">
        <v>145</v>
      </c>
      <c r="N123" s="8"/>
      <c r="O123" s="8"/>
      <c r="P123" s="8"/>
      <c r="Q123" s="8"/>
      <c r="R123" s="8"/>
      <c r="S123" s="8"/>
      <c r="T123" s="8"/>
    </row>
    <row r="124" spans="1:20" x14ac:dyDescent="0.25">
      <c r="A124" s="7">
        <v>920</v>
      </c>
      <c r="B124" s="7" t="s">
        <v>753</v>
      </c>
      <c r="C124" s="7" t="s">
        <v>145</v>
      </c>
      <c r="D124" s="7" t="s">
        <v>145</v>
      </c>
      <c r="E124" s="7" t="s">
        <v>753</v>
      </c>
      <c r="F124" s="7" t="s">
        <v>754</v>
      </c>
      <c r="G124" s="7" t="s">
        <v>755</v>
      </c>
      <c r="H124" s="7" t="s">
        <v>150</v>
      </c>
      <c r="I124" s="7"/>
      <c r="J124" s="7"/>
      <c r="K124" s="7" t="s">
        <v>153</v>
      </c>
      <c r="L124" s="7" t="s">
        <v>85</v>
      </c>
      <c r="M124" s="7" t="s">
        <v>162</v>
      </c>
      <c r="N124" s="8"/>
      <c r="O124" s="8"/>
      <c r="P124" s="8"/>
      <c r="Q124" s="8"/>
      <c r="R124" s="8"/>
      <c r="S124" s="8"/>
      <c r="T124" s="8"/>
    </row>
    <row r="125" spans="1:20" x14ac:dyDescent="0.25">
      <c r="A125">
        <v>643</v>
      </c>
      <c r="B125" t="s">
        <v>756</v>
      </c>
      <c r="C125" t="s">
        <v>145</v>
      </c>
      <c r="D125" t="s">
        <v>639</v>
      </c>
      <c r="E125" t="s">
        <v>757</v>
      </c>
      <c r="F125" t="s">
        <v>758</v>
      </c>
      <c r="G125" t="s">
        <v>149</v>
      </c>
      <c r="H125" t="s">
        <v>150</v>
      </c>
      <c r="I125" t="s">
        <v>759</v>
      </c>
      <c r="J125" t="s">
        <v>760</v>
      </c>
      <c r="K125" t="s">
        <v>153</v>
      </c>
      <c r="L125" t="s">
        <v>154</v>
      </c>
      <c r="M125" t="s">
        <v>162</v>
      </c>
      <c r="N125" s="8"/>
      <c r="O125" s="8"/>
      <c r="P125" s="8"/>
      <c r="Q125" s="8"/>
      <c r="R125" s="8"/>
      <c r="S125" s="8"/>
      <c r="T125" s="8"/>
    </row>
    <row r="126" spans="1:20" x14ac:dyDescent="0.25">
      <c r="A126" s="7">
        <v>510</v>
      </c>
      <c r="B126" s="7" t="s">
        <v>761</v>
      </c>
      <c r="C126" s="7" t="s">
        <v>145</v>
      </c>
      <c r="D126" s="7" t="s">
        <v>304</v>
      </c>
      <c r="E126" s="7" t="s">
        <v>762</v>
      </c>
      <c r="F126" s="7" t="s">
        <v>763</v>
      </c>
      <c r="G126" s="7" t="s">
        <v>764</v>
      </c>
      <c r="H126" s="7" t="s">
        <v>150</v>
      </c>
      <c r="I126" s="7" t="s">
        <v>765</v>
      </c>
      <c r="J126" s="7" t="s">
        <v>766</v>
      </c>
      <c r="K126" s="7" t="s">
        <v>153</v>
      </c>
      <c r="L126" s="7" t="s">
        <v>85</v>
      </c>
      <c r="M126" s="7" t="s">
        <v>145</v>
      </c>
      <c r="N126" s="8"/>
      <c r="O126" s="8"/>
      <c r="P126" s="8"/>
      <c r="Q126" s="8"/>
      <c r="R126" s="8"/>
      <c r="S126" s="8"/>
      <c r="T126" s="8"/>
    </row>
    <row r="127" spans="1:20" x14ac:dyDescent="0.25">
      <c r="A127">
        <v>793</v>
      </c>
      <c r="B127" t="s">
        <v>767</v>
      </c>
      <c r="C127" t="s">
        <v>768</v>
      </c>
      <c r="D127" t="s">
        <v>145</v>
      </c>
      <c r="E127" t="s">
        <v>769</v>
      </c>
      <c r="F127" t="s">
        <v>770</v>
      </c>
      <c r="G127" t="s">
        <v>183</v>
      </c>
      <c r="H127" t="s">
        <v>150</v>
      </c>
      <c r="I127" t="s">
        <v>771</v>
      </c>
      <c r="J127" t="s">
        <v>772</v>
      </c>
      <c r="K127" t="s">
        <v>153</v>
      </c>
      <c r="L127" t="s">
        <v>85</v>
      </c>
      <c r="M127" t="s">
        <v>162</v>
      </c>
      <c r="N127" s="8"/>
      <c r="O127" s="8"/>
      <c r="P127" s="8"/>
      <c r="Q127" s="8"/>
      <c r="R127" s="8"/>
      <c r="S127" s="8"/>
      <c r="T127" s="8"/>
    </row>
    <row r="128" spans="1:20" x14ac:dyDescent="0.25">
      <c r="A128" s="7">
        <v>745</v>
      </c>
      <c r="B128" s="7" t="s">
        <v>773</v>
      </c>
      <c r="C128" s="7" t="s">
        <v>768</v>
      </c>
      <c r="D128" s="7" t="s">
        <v>304</v>
      </c>
      <c r="E128" s="7" t="s">
        <v>769</v>
      </c>
      <c r="F128" s="7" t="s">
        <v>774</v>
      </c>
      <c r="G128" s="7" t="s">
        <v>159</v>
      </c>
      <c r="H128" s="7" t="s">
        <v>150</v>
      </c>
      <c r="I128" s="7" t="s">
        <v>775</v>
      </c>
      <c r="J128" s="7" t="s">
        <v>772</v>
      </c>
      <c r="K128" s="7" t="s">
        <v>153</v>
      </c>
      <c r="L128" s="7" t="s">
        <v>85</v>
      </c>
      <c r="M128" s="7" t="s">
        <v>162</v>
      </c>
      <c r="N128" s="8"/>
      <c r="O128" s="8"/>
      <c r="P128" s="8"/>
      <c r="Q128" s="8"/>
      <c r="R128" s="8"/>
      <c r="S128" s="8"/>
      <c r="T128" s="8"/>
    </row>
    <row r="129" spans="1:20" x14ac:dyDescent="0.25">
      <c r="A129">
        <v>865</v>
      </c>
      <c r="B129" t="s">
        <v>776</v>
      </c>
      <c r="C129" t="s">
        <v>768</v>
      </c>
      <c r="D129" t="s">
        <v>145</v>
      </c>
      <c r="E129" t="s">
        <v>769</v>
      </c>
      <c r="F129" t="s">
        <v>777</v>
      </c>
      <c r="G129" t="s">
        <v>778</v>
      </c>
      <c r="H129" t="s">
        <v>150</v>
      </c>
      <c r="I129" t="s">
        <v>771</v>
      </c>
      <c r="J129" t="s">
        <v>772</v>
      </c>
      <c r="K129" t="s">
        <v>153</v>
      </c>
      <c r="L129" t="s">
        <v>154</v>
      </c>
      <c r="M129" t="s">
        <v>162</v>
      </c>
      <c r="N129" s="8"/>
      <c r="O129" s="8"/>
      <c r="P129" s="8"/>
      <c r="Q129" s="8"/>
      <c r="R129" s="8"/>
      <c r="S129" s="8"/>
      <c r="T129" s="8"/>
    </row>
    <row r="130" spans="1:20" x14ac:dyDescent="0.25">
      <c r="A130" s="7">
        <v>712</v>
      </c>
      <c r="B130" s="7" t="s">
        <v>779</v>
      </c>
      <c r="C130" s="7" t="s">
        <v>768</v>
      </c>
      <c r="D130" s="7" t="s">
        <v>145</v>
      </c>
      <c r="E130" s="7" t="s">
        <v>769</v>
      </c>
      <c r="F130" s="7" t="s">
        <v>780</v>
      </c>
      <c r="G130" s="7" t="s">
        <v>183</v>
      </c>
      <c r="H130" s="7" t="s">
        <v>150</v>
      </c>
      <c r="I130" s="7" t="s">
        <v>771</v>
      </c>
      <c r="J130" s="7" t="s">
        <v>772</v>
      </c>
      <c r="K130" s="7" t="s">
        <v>153</v>
      </c>
      <c r="L130" s="7" t="s">
        <v>85</v>
      </c>
      <c r="M130" s="7" t="s">
        <v>162</v>
      </c>
      <c r="N130" s="8"/>
      <c r="O130" s="8"/>
      <c r="P130" s="8"/>
      <c r="Q130" s="8"/>
      <c r="R130" s="8"/>
      <c r="S130" s="8"/>
      <c r="T130" s="8"/>
    </row>
    <row r="131" spans="1:20" x14ac:dyDescent="0.25">
      <c r="A131">
        <v>687</v>
      </c>
      <c r="B131" t="s">
        <v>781</v>
      </c>
      <c r="C131" t="s">
        <v>768</v>
      </c>
      <c r="D131" t="s">
        <v>304</v>
      </c>
      <c r="E131" t="s">
        <v>769</v>
      </c>
      <c r="F131" t="s">
        <v>782</v>
      </c>
      <c r="G131" t="s">
        <v>183</v>
      </c>
      <c r="H131" t="s">
        <v>150</v>
      </c>
      <c r="I131" t="s">
        <v>771</v>
      </c>
      <c r="J131" t="s">
        <v>772</v>
      </c>
      <c r="K131" t="s">
        <v>153</v>
      </c>
      <c r="L131" t="s">
        <v>85</v>
      </c>
      <c r="M131" t="s">
        <v>162</v>
      </c>
      <c r="N131" s="8"/>
      <c r="O131" s="8"/>
      <c r="P131" s="8"/>
      <c r="Q131" s="8"/>
      <c r="R131" s="8"/>
      <c r="S131" s="8"/>
      <c r="T131" s="8"/>
    </row>
    <row r="132" spans="1:20" x14ac:dyDescent="0.25">
      <c r="A132" s="7">
        <v>481</v>
      </c>
      <c r="B132" s="7" t="s">
        <v>783</v>
      </c>
      <c r="C132" s="7" t="s">
        <v>768</v>
      </c>
      <c r="D132" s="7" t="s">
        <v>304</v>
      </c>
      <c r="E132" s="7" t="s">
        <v>769</v>
      </c>
      <c r="F132" s="7" t="s">
        <v>784</v>
      </c>
      <c r="G132" s="7" t="s">
        <v>785</v>
      </c>
      <c r="H132" s="7" t="s">
        <v>150</v>
      </c>
      <c r="I132" s="7" t="s">
        <v>786</v>
      </c>
      <c r="J132" s="7" t="s">
        <v>787</v>
      </c>
      <c r="K132" s="7" t="s">
        <v>153</v>
      </c>
      <c r="L132" s="7" t="s">
        <v>85</v>
      </c>
      <c r="M132" s="7" t="s">
        <v>162</v>
      </c>
      <c r="N132" s="8"/>
      <c r="O132" s="8"/>
      <c r="P132" s="8"/>
      <c r="Q132" s="8"/>
      <c r="R132" s="8"/>
      <c r="S132" s="8"/>
      <c r="T132" s="8"/>
    </row>
    <row r="133" spans="1:20" x14ac:dyDescent="0.25">
      <c r="A133">
        <v>478</v>
      </c>
      <c r="B133" t="s">
        <v>788</v>
      </c>
      <c r="C133" t="s">
        <v>768</v>
      </c>
      <c r="D133" t="s">
        <v>304</v>
      </c>
      <c r="E133" t="s">
        <v>769</v>
      </c>
      <c r="F133" t="s">
        <v>789</v>
      </c>
      <c r="G133" t="s">
        <v>183</v>
      </c>
      <c r="H133" t="s">
        <v>150</v>
      </c>
      <c r="I133" t="s">
        <v>790</v>
      </c>
      <c r="J133" t="s">
        <v>787</v>
      </c>
      <c r="K133" t="s">
        <v>153</v>
      </c>
      <c r="L133" t="s">
        <v>85</v>
      </c>
      <c r="M133" t="s">
        <v>162</v>
      </c>
      <c r="N133" s="8"/>
      <c r="O133" s="8"/>
      <c r="P133" s="8"/>
      <c r="Q133" s="8"/>
      <c r="R133" s="8"/>
      <c r="S133" s="8"/>
      <c r="T133" s="8"/>
    </row>
    <row r="134" spans="1:20" x14ac:dyDescent="0.25">
      <c r="A134" s="7">
        <v>480</v>
      </c>
      <c r="B134" s="7" t="s">
        <v>791</v>
      </c>
      <c r="C134" s="7" t="s">
        <v>768</v>
      </c>
      <c r="D134" s="7" t="s">
        <v>304</v>
      </c>
      <c r="E134" s="7" t="s">
        <v>769</v>
      </c>
      <c r="F134" s="7" t="s">
        <v>792</v>
      </c>
      <c r="G134" s="7" t="s">
        <v>183</v>
      </c>
      <c r="H134" s="7" t="s">
        <v>150</v>
      </c>
      <c r="I134" s="7" t="s">
        <v>793</v>
      </c>
      <c r="J134" s="7" t="s">
        <v>787</v>
      </c>
      <c r="K134" s="7" t="s">
        <v>153</v>
      </c>
      <c r="L134" s="7" t="s">
        <v>85</v>
      </c>
      <c r="M134" s="7" t="s">
        <v>162</v>
      </c>
      <c r="N134" s="8"/>
      <c r="O134" s="8"/>
      <c r="P134" s="8"/>
      <c r="Q134" s="8"/>
      <c r="R134" s="8"/>
      <c r="S134" s="8"/>
      <c r="T134" s="8"/>
    </row>
    <row r="135" spans="1:20" x14ac:dyDescent="0.25">
      <c r="A135">
        <v>479</v>
      </c>
      <c r="B135" t="s">
        <v>794</v>
      </c>
      <c r="C135" t="s">
        <v>768</v>
      </c>
      <c r="D135" t="s">
        <v>304</v>
      </c>
      <c r="E135" t="s">
        <v>769</v>
      </c>
      <c r="F135" t="s">
        <v>795</v>
      </c>
      <c r="G135" t="s">
        <v>183</v>
      </c>
      <c r="H135" t="s">
        <v>150</v>
      </c>
      <c r="I135" t="s">
        <v>796</v>
      </c>
      <c r="J135" t="s">
        <v>787</v>
      </c>
      <c r="K135" t="s">
        <v>153</v>
      </c>
      <c r="L135" t="s">
        <v>85</v>
      </c>
      <c r="M135" t="s">
        <v>162</v>
      </c>
      <c r="N135" s="8"/>
      <c r="O135" s="8"/>
      <c r="P135" s="8"/>
      <c r="Q135" s="8"/>
      <c r="R135" s="8"/>
      <c r="S135" s="8"/>
      <c r="T135" s="8"/>
    </row>
    <row r="136" spans="1:20" x14ac:dyDescent="0.25">
      <c r="A136" s="7">
        <v>477</v>
      </c>
      <c r="B136" s="7" t="s">
        <v>797</v>
      </c>
      <c r="C136" s="7" t="s">
        <v>768</v>
      </c>
      <c r="D136" s="7" t="s">
        <v>304</v>
      </c>
      <c r="E136" s="7" t="s">
        <v>798</v>
      </c>
      <c r="F136" s="7" t="s">
        <v>799</v>
      </c>
      <c r="G136" s="7" t="s">
        <v>785</v>
      </c>
      <c r="H136" s="7" t="s">
        <v>150</v>
      </c>
      <c r="I136" s="7" t="s">
        <v>800</v>
      </c>
      <c r="J136" s="7" t="s">
        <v>787</v>
      </c>
      <c r="K136" s="7" t="s">
        <v>153</v>
      </c>
      <c r="L136" s="7" t="s">
        <v>85</v>
      </c>
      <c r="M136" s="7" t="s">
        <v>145</v>
      </c>
      <c r="N136" s="8"/>
      <c r="O136" s="8"/>
      <c r="P136" s="8"/>
      <c r="Q136" s="8"/>
      <c r="R136" s="8"/>
      <c r="S136" s="8"/>
      <c r="T136" s="8"/>
    </row>
    <row r="137" spans="1:20" x14ac:dyDescent="0.25">
      <c r="A137">
        <v>686</v>
      </c>
      <c r="B137" t="s">
        <v>801</v>
      </c>
      <c r="C137" t="s">
        <v>768</v>
      </c>
      <c r="D137" t="s">
        <v>304</v>
      </c>
      <c r="E137" t="s">
        <v>769</v>
      </c>
      <c r="F137" t="s">
        <v>802</v>
      </c>
      <c r="G137" t="s">
        <v>183</v>
      </c>
      <c r="H137" t="s">
        <v>150</v>
      </c>
      <c r="I137" t="s">
        <v>771</v>
      </c>
      <c r="J137" t="s">
        <v>772</v>
      </c>
      <c r="K137" t="s">
        <v>153</v>
      </c>
      <c r="L137" t="s">
        <v>85</v>
      </c>
      <c r="M137" t="s">
        <v>162</v>
      </c>
      <c r="N137" s="8"/>
      <c r="O137" s="8"/>
      <c r="P137" s="8"/>
      <c r="Q137" s="8"/>
      <c r="R137" s="8"/>
      <c r="S137" s="8"/>
      <c r="T137" s="8"/>
    </row>
    <row r="138" spans="1:20" x14ac:dyDescent="0.25">
      <c r="A138" s="7">
        <v>566</v>
      </c>
      <c r="B138" s="7" t="s">
        <v>803</v>
      </c>
      <c r="C138" s="7" t="s">
        <v>145</v>
      </c>
      <c r="D138" s="7" t="s">
        <v>146</v>
      </c>
      <c r="E138" s="7" t="s">
        <v>804</v>
      </c>
      <c r="F138" s="7" t="s">
        <v>805</v>
      </c>
      <c r="G138" s="7"/>
      <c r="H138" s="7" t="s">
        <v>150</v>
      </c>
      <c r="I138" s="7" t="s">
        <v>806</v>
      </c>
      <c r="J138" s="7" t="s">
        <v>807</v>
      </c>
      <c r="K138" s="7" t="s">
        <v>153</v>
      </c>
      <c r="L138" s="7" t="s">
        <v>154</v>
      </c>
      <c r="M138" s="7" t="s">
        <v>145</v>
      </c>
      <c r="N138" s="8"/>
      <c r="O138" s="8"/>
      <c r="P138" s="8"/>
      <c r="Q138" s="8"/>
      <c r="R138" s="8"/>
      <c r="S138" s="8"/>
      <c r="T138" s="8"/>
    </row>
    <row r="139" spans="1:20" x14ac:dyDescent="0.25">
      <c r="A139">
        <v>902</v>
      </c>
      <c r="B139" t="s">
        <v>808</v>
      </c>
      <c r="C139" t="s">
        <v>809</v>
      </c>
      <c r="D139" t="s">
        <v>145</v>
      </c>
      <c r="E139" t="s">
        <v>810</v>
      </c>
      <c r="F139" t="s">
        <v>811</v>
      </c>
      <c r="G139" t="s">
        <v>812</v>
      </c>
      <c r="H139" t="s">
        <v>150</v>
      </c>
      <c r="I139" t="s">
        <v>813</v>
      </c>
      <c r="J139" t="s">
        <v>814</v>
      </c>
      <c r="K139" t="s">
        <v>153</v>
      </c>
      <c r="L139" t="s">
        <v>85</v>
      </c>
      <c r="M139" t="s">
        <v>162</v>
      </c>
      <c r="N139" s="8"/>
      <c r="O139" s="8"/>
      <c r="P139" s="8"/>
      <c r="Q139" s="8"/>
      <c r="R139" s="8"/>
      <c r="S139" s="8"/>
      <c r="T139" s="8"/>
    </row>
    <row r="140" spans="1:20" x14ac:dyDescent="0.25">
      <c r="A140" s="7">
        <v>904</v>
      </c>
      <c r="B140" s="7" t="s">
        <v>815</v>
      </c>
      <c r="C140" s="7" t="s">
        <v>809</v>
      </c>
      <c r="D140" s="7" t="s">
        <v>145</v>
      </c>
      <c r="E140" s="7" t="s">
        <v>810</v>
      </c>
      <c r="F140" s="7" t="s">
        <v>816</v>
      </c>
      <c r="G140" s="7" t="s">
        <v>817</v>
      </c>
      <c r="H140" s="7" t="s">
        <v>150</v>
      </c>
      <c r="I140" s="7" t="s">
        <v>813</v>
      </c>
      <c r="J140" s="7" t="s">
        <v>814</v>
      </c>
      <c r="K140" s="7" t="s">
        <v>153</v>
      </c>
      <c r="L140" s="7" t="s">
        <v>85</v>
      </c>
      <c r="M140" s="7" t="s">
        <v>162</v>
      </c>
      <c r="N140" s="8"/>
      <c r="O140" s="8"/>
      <c r="P140" s="8"/>
      <c r="Q140" s="8"/>
      <c r="R140" s="8"/>
      <c r="S140" s="8"/>
      <c r="T140" s="8"/>
    </row>
    <row r="141" spans="1:20" x14ac:dyDescent="0.25">
      <c r="A141">
        <v>913</v>
      </c>
      <c r="B141" t="s">
        <v>818</v>
      </c>
      <c r="C141" t="s">
        <v>809</v>
      </c>
      <c r="D141" t="s">
        <v>145</v>
      </c>
      <c r="E141" t="s">
        <v>810</v>
      </c>
      <c r="F141" t="s">
        <v>819</v>
      </c>
      <c r="G141" t="s">
        <v>820</v>
      </c>
      <c r="H141" t="s">
        <v>150</v>
      </c>
      <c r="I141" t="s">
        <v>813</v>
      </c>
      <c r="J141" t="s">
        <v>814</v>
      </c>
      <c r="K141" t="s">
        <v>153</v>
      </c>
      <c r="L141" t="s">
        <v>85</v>
      </c>
      <c r="M141" t="s">
        <v>162</v>
      </c>
      <c r="N141" s="8"/>
      <c r="O141" s="8"/>
      <c r="P141" s="8"/>
      <c r="Q141" s="8"/>
      <c r="R141" s="8"/>
      <c r="S141" s="8"/>
      <c r="T141" s="8"/>
    </row>
    <row r="142" spans="1:20" x14ac:dyDescent="0.25">
      <c r="A142" s="7">
        <v>911</v>
      </c>
      <c r="B142" s="7" t="s">
        <v>821</v>
      </c>
      <c r="C142" s="7" t="s">
        <v>809</v>
      </c>
      <c r="D142" s="7" t="s">
        <v>145</v>
      </c>
      <c r="E142" s="7" t="s">
        <v>810</v>
      </c>
      <c r="F142" s="7" t="s">
        <v>822</v>
      </c>
      <c r="G142" s="7" t="s">
        <v>823</v>
      </c>
      <c r="H142" s="7" t="s">
        <v>150</v>
      </c>
      <c r="I142" s="7" t="s">
        <v>813</v>
      </c>
      <c r="J142" s="7" t="s">
        <v>814</v>
      </c>
      <c r="K142" s="7" t="s">
        <v>153</v>
      </c>
      <c r="L142" s="7" t="s">
        <v>85</v>
      </c>
      <c r="M142" s="7" t="s">
        <v>162</v>
      </c>
      <c r="N142" s="8"/>
      <c r="O142" s="8"/>
      <c r="P142" s="8"/>
      <c r="Q142" s="8"/>
      <c r="R142" s="8"/>
      <c r="S142" s="8"/>
      <c r="T142" s="8"/>
    </row>
    <row r="143" spans="1:20" x14ac:dyDescent="0.25">
      <c r="A143">
        <v>907</v>
      </c>
      <c r="B143" t="s">
        <v>824</v>
      </c>
      <c r="C143" t="s">
        <v>809</v>
      </c>
      <c r="D143" t="s">
        <v>145</v>
      </c>
      <c r="E143" t="s">
        <v>810</v>
      </c>
      <c r="F143" t="s">
        <v>825</v>
      </c>
      <c r="G143" t="s">
        <v>826</v>
      </c>
      <c r="H143" t="s">
        <v>150</v>
      </c>
      <c r="I143" t="s">
        <v>813</v>
      </c>
      <c r="J143" t="s">
        <v>814</v>
      </c>
      <c r="K143" t="s">
        <v>153</v>
      </c>
      <c r="L143" t="s">
        <v>85</v>
      </c>
      <c r="M143" t="s">
        <v>162</v>
      </c>
      <c r="N143" s="8"/>
      <c r="O143" s="8"/>
      <c r="P143" s="8"/>
      <c r="Q143" s="8"/>
      <c r="R143" s="8"/>
      <c r="S143" s="8"/>
      <c r="T143" s="8"/>
    </row>
    <row r="144" spans="1:20" x14ac:dyDescent="0.25">
      <c r="A144" s="7">
        <v>909</v>
      </c>
      <c r="B144" s="7" t="s">
        <v>827</v>
      </c>
      <c r="C144" s="7" t="s">
        <v>809</v>
      </c>
      <c r="D144" s="7" t="s">
        <v>145</v>
      </c>
      <c r="E144" s="7" t="s">
        <v>810</v>
      </c>
      <c r="F144" s="7" t="s">
        <v>828</v>
      </c>
      <c r="G144" s="7" t="s">
        <v>829</v>
      </c>
      <c r="H144" s="7" t="s">
        <v>150</v>
      </c>
      <c r="I144" s="7" t="s">
        <v>813</v>
      </c>
      <c r="J144" s="7" t="s">
        <v>814</v>
      </c>
      <c r="K144" s="7" t="s">
        <v>153</v>
      </c>
      <c r="L144" s="7" t="s">
        <v>85</v>
      </c>
      <c r="M144" s="7" t="s">
        <v>162</v>
      </c>
      <c r="N144" s="8"/>
      <c r="O144" s="8"/>
      <c r="P144" s="8"/>
      <c r="Q144" s="8"/>
      <c r="R144" s="8"/>
      <c r="S144" s="8"/>
      <c r="T144" s="8"/>
    </row>
    <row r="145" spans="1:20" x14ac:dyDescent="0.25">
      <c r="A145">
        <v>906</v>
      </c>
      <c r="B145" t="s">
        <v>830</v>
      </c>
      <c r="C145" t="s">
        <v>809</v>
      </c>
      <c r="D145" t="s">
        <v>145</v>
      </c>
      <c r="E145" t="s">
        <v>810</v>
      </c>
      <c r="F145" t="s">
        <v>831</v>
      </c>
      <c r="G145" t="s">
        <v>826</v>
      </c>
      <c r="H145" t="s">
        <v>150</v>
      </c>
      <c r="I145" t="s">
        <v>813</v>
      </c>
      <c r="J145" t="s">
        <v>814</v>
      </c>
      <c r="K145" t="s">
        <v>153</v>
      </c>
      <c r="L145" t="s">
        <v>85</v>
      </c>
      <c r="M145" t="s">
        <v>162</v>
      </c>
      <c r="N145" s="8"/>
      <c r="O145" s="8"/>
      <c r="P145" s="8"/>
      <c r="Q145" s="8"/>
      <c r="R145" s="8"/>
      <c r="S145" s="8"/>
      <c r="T145" s="8"/>
    </row>
    <row r="146" spans="1:20" x14ac:dyDescent="0.25">
      <c r="A146" s="7">
        <v>903</v>
      </c>
      <c r="B146" s="7" t="s">
        <v>832</v>
      </c>
      <c r="C146" s="7" t="s">
        <v>809</v>
      </c>
      <c r="D146" s="7" t="s">
        <v>145</v>
      </c>
      <c r="E146" s="7" t="s">
        <v>810</v>
      </c>
      <c r="F146" s="7" t="s">
        <v>833</v>
      </c>
      <c r="G146" s="7" t="s">
        <v>834</v>
      </c>
      <c r="H146" s="7" t="s">
        <v>150</v>
      </c>
      <c r="I146" s="7" t="s">
        <v>813</v>
      </c>
      <c r="J146" s="7" t="s">
        <v>814</v>
      </c>
      <c r="K146" s="7" t="s">
        <v>153</v>
      </c>
      <c r="L146" s="7" t="s">
        <v>85</v>
      </c>
      <c r="M146" s="7" t="s">
        <v>162</v>
      </c>
      <c r="N146" s="8"/>
      <c r="O146" s="8"/>
      <c r="P146" s="8"/>
      <c r="Q146" s="8"/>
      <c r="R146" s="8"/>
      <c r="S146" s="8"/>
      <c r="T146" s="8"/>
    </row>
    <row r="147" spans="1:20" x14ac:dyDescent="0.25">
      <c r="A147">
        <v>900</v>
      </c>
      <c r="B147" t="s">
        <v>835</v>
      </c>
      <c r="C147" t="s">
        <v>809</v>
      </c>
      <c r="D147" t="s">
        <v>145</v>
      </c>
      <c r="E147" t="s">
        <v>810</v>
      </c>
      <c r="F147" t="s">
        <v>836</v>
      </c>
      <c r="G147" t="s">
        <v>829</v>
      </c>
      <c r="H147" t="s">
        <v>150</v>
      </c>
      <c r="I147" t="s">
        <v>813</v>
      </c>
      <c r="J147" t="s">
        <v>814</v>
      </c>
      <c r="K147" t="s">
        <v>153</v>
      </c>
      <c r="L147" t="s">
        <v>85</v>
      </c>
      <c r="M147" t="s">
        <v>162</v>
      </c>
      <c r="N147" s="8"/>
      <c r="O147" s="8"/>
      <c r="P147" s="8"/>
      <c r="Q147" s="8"/>
      <c r="R147" s="8"/>
      <c r="S147" s="8"/>
      <c r="T147" s="8"/>
    </row>
    <row r="148" spans="1:20" x14ac:dyDescent="0.25">
      <c r="A148" s="7">
        <v>912</v>
      </c>
      <c r="B148" s="7" t="s">
        <v>837</v>
      </c>
      <c r="C148" s="7" t="s">
        <v>809</v>
      </c>
      <c r="D148" s="7" t="s">
        <v>145</v>
      </c>
      <c r="E148" s="7" t="s">
        <v>810</v>
      </c>
      <c r="F148" s="7" t="s">
        <v>838</v>
      </c>
      <c r="G148" s="7" t="s">
        <v>817</v>
      </c>
      <c r="H148" s="7" t="s">
        <v>150</v>
      </c>
      <c r="I148" s="7" t="s">
        <v>813</v>
      </c>
      <c r="J148" s="7" t="s">
        <v>814</v>
      </c>
      <c r="K148" s="7" t="s">
        <v>153</v>
      </c>
      <c r="L148" s="7" t="s">
        <v>85</v>
      </c>
      <c r="M148" s="7" t="s">
        <v>162</v>
      </c>
      <c r="N148" s="8"/>
      <c r="O148" s="8"/>
      <c r="P148" s="8"/>
      <c r="Q148" s="8"/>
      <c r="R148" s="8"/>
      <c r="S148" s="8"/>
      <c r="T148" s="8"/>
    </row>
    <row r="149" spans="1:20" x14ac:dyDescent="0.25">
      <c r="A149">
        <v>908</v>
      </c>
      <c r="B149" t="s">
        <v>839</v>
      </c>
      <c r="C149" t="s">
        <v>809</v>
      </c>
      <c r="D149" t="s">
        <v>145</v>
      </c>
      <c r="E149" t="s">
        <v>810</v>
      </c>
      <c r="F149" t="s">
        <v>840</v>
      </c>
      <c r="G149" t="s">
        <v>841</v>
      </c>
      <c r="H149" t="s">
        <v>150</v>
      </c>
      <c r="I149" t="s">
        <v>813</v>
      </c>
      <c r="J149" t="s">
        <v>814</v>
      </c>
      <c r="K149" t="s">
        <v>153</v>
      </c>
      <c r="L149" t="s">
        <v>85</v>
      </c>
      <c r="M149" t="s">
        <v>162</v>
      </c>
      <c r="N149" s="8"/>
      <c r="O149" s="8"/>
      <c r="P149" s="8"/>
      <c r="Q149" s="8"/>
      <c r="R149" s="8"/>
      <c r="S149" s="8"/>
      <c r="T149" s="8"/>
    </row>
    <row r="150" spans="1:20" x14ac:dyDescent="0.25">
      <c r="A150" s="7">
        <v>895</v>
      </c>
      <c r="B150" s="7" t="s">
        <v>842</v>
      </c>
      <c r="C150" s="7" t="s">
        <v>809</v>
      </c>
      <c r="D150" s="7" t="s">
        <v>145</v>
      </c>
      <c r="E150" s="7" t="s">
        <v>810</v>
      </c>
      <c r="F150" s="7" t="s">
        <v>843</v>
      </c>
      <c r="G150" s="7" t="s">
        <v>812</v>
      </c>
      <c r="H150" s="7" t="s">
        <v>150</v>
      </c>
      <c r="I150" s="7" t="s">
        <v>813</v>
      </c>
      <c r="J150" s="7" t="s">
        <v>814</v>
      </c>
      <c r="K150" s="7" t="s">
        <v>153</v>
      </c>
      <c r="L150" s="7" t="s">
        <v>85</v>
      </c>
      <c r="M150" s="7" t="s">
        <v>162</v>
      </c>
      <c r="N150" s="8"/>
      <c r="O150" s="8"/>
      <c r="P150" s="8"/>
      <c r="Q150" s="8"/>
      <c r="R150" s="8"/>
      <c r="S150" s="8"/>
      <c r="T150" s="8"/>
    </row>
    <row r="151" spans="1:20" x14ac:dyDescent="0.25">
      <c r="A151">
        <v>896</v>
      </c>
      <c r="B151" t="s">
        <v>844</v>
      </c>
      <c r="C151" t="s">
        <v>809</v>
      </c>
      <c r="D151" t="s">
        <v>145</v>
      </c>
      <c r="E151" t="s">
        <v>810</v>
      </c>
      <c r="F151" t="s">
        <v>845</v>
      </c>
      <c r="G151" t="s">
        <v>829</v>
      </c>
      <c r="H151" t="s">
        <v>150</v>
      </c>
      <c r="I151" t="s">
        <v>813</v>
      </c>
      <c r="J151" t="s">
        <v>846</v>
      </c>
      <c r="K151" t="s">
        <v>153</v>
      </c>
      <c r="L151" t="s">
        <v>85</v>
      </c>
      <c r="M151" t="s">
        <v>162</v>
      </c>
      <c r="N151" s="8"/>
      <c r="O151" s="8"/>
      <c r="P151" s="8"/>
      <c r="Q151" s="8"/>
      <c r="R151" s="8"/>
      <c r="S151" s="8"/>
      <c r="T151" s="8"/>
    </row>
    <row r="152" spans="1:20" x14ac:dyDescent="0.25">
      <c r="A152" s="7">
        <v>901</v>
      </c>
      <c r="B152" s="7" t="s">
        <v>847</v>
      </c>
      <c r="C152" s="7" t="s">
        <v>809</v>
      </c>
      <c r="D152" s="7" t="s">
        <v>145</v>
      </c>
      <c r="E152" s="7" t="s">
        <v>810</v>
      </c>
      <c r="F152" s="7" t="s">
        <v>848</v>
      </c>
      <c r="G152" s="7" t="s">
        <v>826</v>
      </c>
      <c r="H152" s="7" t="s">
        <v>150</v>
      </c>
      <c r="I152" s="7" t="s">
        <v>813</v>
      </c>
      <c r="J152" s="7" t="s">
        <v>814</v>
      </c>
      <c r="K152" s="7" t="s">
        <v>153</v>
      </c>
      <c r="L152" s="7" t="s">
        <v>85</v>
      </c>
      <c r="M152" s="7" t="s">
        <v>162</v>
      </c>
      <c r="N152" s="8"/>
      <c r="O152" s="8"/>
      <c r="P152" s="8"/>
      <c r="Q152" s="8"/>
      <c r="R152" s="8"/>
      <c r="S152" s="8"/>
      <c r="T152" s="8"/>
    </row>
    <row r="153" spans="1:20" x14ac:dyDescent="0.25">
      <c r="A153">
        <v>898</v>
      </c>
      <c r="B153" t="s">
        <v>849</v>
      </c>
      <c r="C153" t="s">
        <v>809</v>
      </c>
      <c r="D153" t="s">
        <v>145</v>
      </c>
      <c r="E153" t="s">
        <v>810</v>
      </c>
      <c r="F153" t="s">
        <v>850</v>
      </c>
      <c r="G153" t="s">
        <v>851</v>
      </c>
      <c r="H153" t="s">
        <v>150</v>
      </c>
      <c r="I153" t="s">
        <v>813</v>
      </c>
      <c r="J153" t="s">
        <v>814</v>
      </c>
      <c r="K153" t="s">
        <v>153</v>
      </c>
      <c r="L153" t="s">
        <v>85</v>
      </c>
      <c r="M153" t="s">
        <v>162</v>
      </c>
      <c r="N153" s="8"/>
      <c r="O153" s="8"/>
      <c r="P153" s="8"/>
      <c r="Q153" s="8"/>
      <c r="R153" s="8"/>
      <c r="S153" s="8"/>
      <c r="T153" s="8"/>
    </row>
    <row r="154" spans="1:20" x14ac:dyDescent="0.25">
      <c r="A154" s="7">
        <v>897</v>
      </c>
      <c r="B154" s="7" t="s">
        <v>852</v>
      </c>
      <c r="C154" s="7" t="s">
        <v>809</v>
      </c>
      <c r="D154" s="7" t="s">
        <v>145</v>
      </c>
      <c r="E154" s="7" t="s">
        <v>810</v>
      </c>
      <c r="F154" s="7" t="s">
        <v>853</v>
      </c>
      <c r="G154" s="7" t="s">
        <v>829</v>
      </c>
      <c r="H154" s="7" t="s">
        <v>150</v>
      </c>
      <c r="I154" s="7" t="s">
        <v>813</v>
      </c>
      <c r="J154" s="7" t="s">
        <v>846</v>
      </c>
      <c r="K154" s="7" t="s">
        <v>153</v>
      </c>
      <c r="L154" s="7" t="s">
        <v>85</v>
      </c>
      <c r="M154" s="7" t="s">
        <v>162</v>
      </c>
      <c r="N154" s="8"/>
      <c r="O154" s="8"/>
      <c r="P154" s="8"/>
      <c r="Q154" s="8"/>
      <c r="R154" s="8"/>
      <c r="S154" s="8"/>
      <c r="T154" s="8"/>
    </row>
    <row r="155" spans="1:20" x14ac:dyDescent="0.25">
      <c r="A155">
        <v>899</v>
      </c>
      <c r="B155" t="s">
        <v>854</v>
      </c>
      <c r="C155" t="s">
        <v>809</v>
      </c>
      <c r="D155" t="s">
        <v>145</v>
      </c>
      <c r="E155" t="s">
        <v>810</v>
      </c>
      <c r="F155" t="s">
        <v>855</v>
      </c>
      <c r="G155" t="s">
        <v>851</v>
      </c>
      <c r="H155" t="s">
        <v>150</v>
      </c>
      <c r="I155" t="s">
        <v>813</v>
      </c>
      <c r="J155" t="s">
        <v>814</v>
      </c>
      <c r="K155" t="s">
        <v>153</v>
      </c>
      <c r="L155" t="s">
        <v>85</v>
      </c>
      <c r="M155" t="s">
        <v>162</v>
      </c>
      <c r="N155" s="8"/>
      <c r="O155" s="8"/>
      <c r="P155" s="8"/>
      <c r="Q155" s="8"/>
      <c r="R155" s="8"/>
      <c r="S155" s="8"/>
      <c r="T155" s="8"/>
    </row>
    <row r="156" spans="1:20" x14ac:dyDescent="0.25">
      <c r="A156" s="7">
        <v>910</v>
      </c>
      <c r="B156" s="7" t="s">
        <v>856</v>
      </c>
      <c r="C156" s="7" t="s">
        <v>809</v>
      </c>
      <c r="D156" s="7" t="s">
        <v>145</v>
      </c>
      <c r="E156" s="7" t="s">
        <v>810</v>
      </c>
      <c r="F156" s="7" t="s">
        <v>857</v>
      </c>
      <c r="G156" s="7" t="s">
        <v>834</v>
      </c>
      <c r="H156" s="7" t="s">
        <v>150</v>
      </c>
      <c r="I156" s="7" t="s">
        <v>813</v>
      </c>
      <c r="J156" s="7" t="s">
        <v>814</v>
      </c>
      <c r="K156" s="7" t="s">
        <v>153</v>
      </c>
      <c r="L156" s="7" t="s">
        <v>85</v>
      </c>
      <c r="M156" s="7" t="s">
        <v>162</v>
      </c>
      <c r="N156" s="8"/>
      <c r="O156" s="8"/>
      <c r="P156" s="8"/>
      <c r="Q156" s="8"/>
      <c r="R156" s="8"/>
      <c r="S156" s="8"/>
      <c r="T156" s="8"/>
    </row>
    <row r="157" spans="1:20" x14ac:dyDescent="0.25">
      <c r="A157">
        <v>905</v>
      </c>
      <c r="B157" t="s">
        <v>858</v>
      </c>
      <c r="C157" t="s">
        <v>809</v>
      </c>
      <c r="D157" t="s">
        <v>145</v>
      </c>
      <c r="E157" t="s">
        <v>810</v>
      </c>
      <c r="F157" t="s">
        <v>859</v>
      </c>
      <c r="G157" t="s">
        <v>860</v>
      </c>
      <c r="H157" t="s">
        <v>150</v>
      </c>
      <c r="I157" t="s">
        <v>813</v>
      </c>
      <c r="J157" t="s">
        <v>814</v>
      </c>
      <c r="K157" t="s">
        <v>153</v>
      </c>
      <c r="L157" t="s">
        <v>85</v>
      </c>
      <c r="M157" t="s">
        <v>162</v>
      </c>
      <c r="N157" s="8"/>
      <c r="O157" s="8"/>
      <c r="P157" s="8"/>
      <c r="Q157" s="8"/>
      <c r="R157" s="8"/>
      <c r="S157" s="8"/>
      <c r="T157" s="8"/>
    </row>
    <row r="158" spans="1:20" x14ac:dyDescent="0.25">
      <c r="A158" s="7">
        <v>836</v>
      </c>
      <c r="B158" s="7" t="s">
        <v>861</v>
      </c>
      <c r="C158" s="7" t="s">
        <v>809</v>
      </c>
      <c r="D158" s="7" t="s">
        <v>304</v>
      </c>
      <c r="E158" s="7" t="s">
        <v>810</v>
      </c>
      <c r="F158" s="7" t="s">
        <v>862</v>
      </c>
      <c r="G158" s="7" t="s">
        <v>863</v>
      </c>
      <c r="H158" s="7" t="s">
        <v>150</v>
      </c>
      <c r="I158" s="7" t="s">
        <v>864</v>
      </c>
      <c r="J158" s="7" t="s">
        <v>814</v>
      </c>
      <c r="K158" s="7" t="s">
        <v>153</v>
      </c>
      <c r="L158" s="7" t="s">
        <v>154</v>
      </c>
      <c r="M158" s="7" t="s">
        <v>162</v>
      </c>
      <c r="N158" s="8"/>
      <c r="O158" s="8"/>
      <c r="P158" s="8"/>
      <c r="Q158" s="8"/>
      <c r="R158" s="8"/>
      <c r="S158" s="8"/>
      <c r="T158" s="8"/>
    </row>
    <row r="159" spans="1:20" x14ac:dyDescent="0.25">
      <c r="A159">
        <v>344</v>
      </c>
      <c r="B159" t="s">
        <v>865</v>
      </c>
      <c r="C159" t="s">
        <v>145</v>
      </c>
      <c r="D159" t="s">
        <v>417</v>
      </c>
      <c r="E159" t="s">
        <v>866</v>
      </c>
      <c r="F159" t="s">
        <v>867</v>
      </c>
      <c r="G159" t="s">
        <v>868</v>
      </c>
      <c r="H159" t="s">
        <v>150</v>
      </c>
      <c r="I159" t="s">
        <v>869</v>
      </c>
      <c r="J159" t="s">
        <v>870</v>
      </c>
      <c r="K159" t="s">
        <v>153</v>
      </c>
      <c r="L159" t="s">
        <v>154</v>
      </c>
      <c r="M159" t="s">
        <v>162</v>
      </c>
      <c r="N159" s="8"/>
      <c r="O159" s="8"/>
      <c r="P159" s="8"/>
      <c r="Q159" s="8"/>
      <c r="R159" s="8"/>
      <c r="S159" s="8"/>
      <c r="T159" s="8"/>
    </row>
    <row r="160" spans="1:20" x14ac:dyDescent="0.25">
      <c r="A160" s="7">
        <v>352</v>
      </c>
      <c r="B160" s="7" t="s">
        <v>871</v>
      </c>
      <c r="C160" s="7" t="s">
        <v>145</v>
      </c>
      <c r="D160" s="7" t="s">
        <v>417</v>
      </c>
      <c r="E160" s="7" t="s">
        <v>872</v>
      </c>
      <c r="F160" s="7" t="s">
        <v>873</v>
      </c>
      <c r="G160" s="7" t="s">
        <v>177</v>
      </c>
      <c r="H160" s="7" t="s">
        <v>150</v>
      </c>
      <c r="I160" s="7" t="s">
        <v>874</v>
      </c>
      <c r="J160" s="7" t="s">
        <v>875</v>
      </c>
      <c r="K160" s="7" t="s">
        <v>153</v>
      </c>
      <c r="L160" s="7" t="s">
        <v>85</v>
      </c>
      <c r="M160" s="7" t="s">
        <v>145</v>
      </c>
      <c r="N160" s="8"/>
      <c r="O160" s="8"/>
      <c r="P160" s="8"/>
      <c r="Q160" s="8"/>
      <c r="R160" s="8"/>
      <c r="S160" s="8"/>
      <c r="T160" s="8"/>
    </row>
    <row r="161" spans="1:20" x14ac:dyDescent="0.25">
      <c r="A161">
        <v>610</v>
      </c>
      <c r="B161" t="s">
        <v>876</v>
      </c>
      <c r="C161" t="s">
        <v>145</v>
      </c>
      <c r="D161" t="s">
        <v>417</v>
      </c>
      <c r="E161" t="s">
        <v>877</v>
      </c>
      <c r="F161" t="s">
        <v>878</v>
      </c>
      <c r="G161" t="s">
        <v>879</v>
      </c>
      <c r="I161" t="s">
        <v>880</v>
      </c>
      <c r="J161" t="s">
        <v>881</v>
      </c>
      <c r="K161" t="s">
        <v>153</v>
      </c>
      <c r="L161" t="s">
        <v>154</v>
      </c>
      <c r="M161" t="s">
        <v>162</v>
      </c>
      <c r="N161" s="8"/>
      <c r="O161" s="8"/>
      <c r="P161" s="8"/>
      <c r="Q161" s="8"/>
      <c r="R161" s="8"/>
      <c r="S161" s="8"/>
      <c r="T161" s="8"/>
    </row>
    <row r="162" spans="1:20" x14ac:dyDescent="0.25">
      <c r="A162" s="7">
        <v>346</v>
      </c>
      <c r="B162" s="7" t="s">
        <v>882</v>
      </c>
      <c r="C162" s="7" t="s">
        <v>145</v>
      </c>
      <c r="D162" s="7" t="s">
        <v>417</v>
      </c>
      <c r="E162" s="7" t="s">
        <v>883</v>
      </c>
      <c r="F162" s="7" t="s">
        <v>884</v>
      </c>
      <c r="G162" s="7" t="s">
        <v>171</v>
      </c>
      <c r="H162" s="7" t="s">
        <v>150</v>
      </c>
      <c r="I162" s="7" t="s">
        <v>885</v>
      </c>
      <c r="J162" s="7" t="s">
        <v>886</v>
      </c>
      <c r="K162" s="7" t="s">
        <v>153</v>
      </c>
      <c r="L162" s="7" t="s">
        <v>154</v>
      </c>
      <c r="M162" s="7" t="s">
        <v>145</v>
      </c>
      <c r="N162" s="8"/>
      <c r="O162" s="8"/>
      <c r="P162" s="8"/>
      <c r="Q162" s="8"/>
      <c r="R162" s="8"/>
      <c r="S162" s="8"/>
      <c r="T162" s="8"/>
    </row>
    <row r="163" spans="1:20" x14ac:dyDescent="0.25">
      <c r="A163">
        <v>609</v>
      </c>
      <c r="B163" t="s">
        <v>887</v>
      </c>
      <c r="C163" t="s">
        <v>145</v>
      </c>
      <c r="D163" t="s">
        <v>417</v>
      </c>
      <c r="E163" t="s">
        <v>888</v>
      </c>
      <c r="F163" t="s">
        <v>889</v>
      </c>
      <c r="G163" t="s">
        <v>868</v>
      </c>
      <c r="H163" t="s">
        <v>150</v>
      </c>
      <c r="I163" t="s">
        <v>890</v>
      </c>
      <c r="J163" t="s">
        <v>891</v>
      </c>
      <c r="K163" t="s">
        <v>153</v>
      </c>
      <c r="L163" t="s">
        <v>85</v>
      </c>
      <c r="M163" t="s">
        <v>145</v>
      </c>
      <c r="N163" s="8"/>
      <c r="O163" s="8"/>
      <c r="P163" s="8"/>
      <c r="Q163" s="8"/>
      <c r="R163" s="8"/>
      <c r="S163" s="8"/>
      <c r="T163" s="8"/>
    </row>
    <row r="164" spans="1:20" x14ac:dyDescent="0.25">
      <c r="A164" s="7">
        <v>351</v>
      </c>
      <c r="B164" s="7" t="s">
        <v>892</v>
      </c>
      <c r="C164" s="7" t="s">
        <v>145</v>
      </c>
      <c r="D164" s="7" t="s">
        <v>346</v>
      </c>
      <c r="E164" s="7" t="s">
        <v>893</v>
      </c>
      <c r="F164" s="7" t="s">
        <v>894</v>
      </c>
      <c r="G164" s="7" t="s">
        <v>159</v>
      </c>
      <c r="H164" s="7" t="s">
        <v>150</v>
      </c>
      <c r="I164" s="7" t="s">
        <v>895</v>
      </c>
      <c r="J164" s="7" t="s">
        <v>896</v>
      </c>
      <c r="K164" s="7" t="s">
        <v>153</v>
      </c>
      <c r="L164" s="7" t="s">
        <v>85</v>
      </c>
      <c r="M164" s="7" t="s">
        <v>162</v>
      </c>
      <c r="N164" s="8"/>
      <c r="O164" s="8"/>
      <c r="P164" s="8"/>
      <c r="Q164" s="8"/>
      <c r="R164" s="8"/>
      <c r="S164" s="8"/>
      <c r="T164" s="8"/>
    </row>
    <row r="165" spans="1:20" x14ac:dyDescent="0.25">
      <c r="A165">
        <v>640</v>
      </c>
      <c r="B165" t="s">
        <v>897</v>
      </c>
      <c r="C165" t="s">
        <v>145</v>
      </c>
      <c r="D165" t="s">
        <v>146</v>
      </c>
      <c r="E165" t="s">
        <v>898</v>
      </c>
      <c r="F165" t="s">
        <v>899</v>
      </c>
      <c r="G165" t="s">
        <v>149</v>
      </c>
      <c r="H165" t="s">
        <v>150</v>
      </c>
      <c r="I165" t="s">
        <v>900</v>
      </c>
      <c r="K165" t="s">
        <v>153</v>
      </c>
      <c r="L165" t="s">
        <v>154</v>
      </c>
      <c r="M165" t="s">
        <v>145</v>
      </c>
      <c r="N165" s="8"/>
      <c r="O165" s="8"/>
      <c r="P165" s="8"/>
      <c r="Q165" s="8"/>
      <c r="R165" s="8"/>
      <c r="S165" s="8"/>
      <c r="T165" s="8"/>
    </row>
    <row r="166" spans="1:20" x14ac:dyDescent="0.25">
      <c r="A166" s="7">
        <v>657</v>
      </c>
      <c r="B166" s="7" t="s">
        <v>901</v>
      </c>
      <c r="C166" s="7" t="s">
        <v>145</v>
      </c>
      <c r="D166" s="7" t="s">
        <v>417</v>
      </c>
      <c r="E166" s="7" t="s">
        <v>902</v>
      </c>
      <c r="F166" s="7" t="s">
        <v>903</v>
      </c>
      <c r="G166" s="7" t="s">
        <v>904</v>
      </c>
      <c r="H166" s="7" t="s">
        <v>150</v>
      </c>
      <c r="I166" s="7" t="s">
        <v>905</v>
      </c>
      <c r="J166" s="7" t="s">
        <v>906</v>
      </c>
      <c r="K166" s="7" t="s">
        <v>153</v>
      </c>
      <c r="L166" s="7" t="s">
        <v>154</v>
      </c>
      <c r="M166" s="7" t="s">
        <v>145</v>
      </c>
      <c r="N166" s="8"/>
      <c r="O166" s="8"/>
      <c r="P166" s="8"/>
      <c r="Q166" s="8"/>
      <c r="R166" s="8"/>
      <c r="S166" s="8"/>
      <c r="T166" s="8"/>
    </row>
    <row r="167" spans="1:20" x14ac:dyDescent="0.25">
      <c r="A167">
        <v>843</v>
      </c>
      <c r="B167" t="s">
        <v>907</v>
      </c>
      <c r="C167" t="s">
        <v>145</v>
      </c>
      <c r="D167" t="s">
        <v>145</v>
      </c>
      <c r="E167" t="s">
        <v>907</v>
      </c>
      <c r="F167" t="s">
        <v>908</v>
      </c>
      <c r="G167" t="s">
        <v>909</v>
      </c>
      <c r="H167" t="s">
        <v>910</v>
      </c>
      <c r="J167" t="s">
        <v>911</v>
      </c>
      <c r="K167" t="s">
        <v>153</v>
      </c>
      <c r="L167" t="s">
        <v>85</v>
      </c>
      <c r="M167" t="s">
        <v>162</v>
      </c>
      <c r="N167" s="8"/>
      <c r="O167" s="8"/>
      <c r="P167" s="8"/>
      <c r="Q167" s="8"/>
      <c r="R167" s="8"/>
      <c r="S167" s="8"/>
      <c r="T167" s="8"/>
    </row>
    <row r="168" spans="1:20" x14ac:dyDescent="0.25">
      <c r="A168" s="7">
        <v>487</v>
      </c>
      <c r="B168" s="7" t="s">
        <v>912</v>
      </c>
      <c r="C168" s="7" t="s">
        <v>145</v>
      </c>
      <c r="D168" s="7" t="s">
        <v>146</v>
      </c>
      <c r="E168" s="7" t="s">
        <v>913</v>
      </c>
      <c r="F168" s="7" t="s">
        <v>914</v>
      </c>
      <c r="G168" s="7" t="s">
        <v>198</v>
      </c>
      <c r="H168" s="7" t="s">
        <v>150</v>
      </c>
      <c r="I168" s="7" t="s">
        <v>915</v>
      </c>
      <c r="J168" s="7" t="s">
        <v>916</v>
      </c>
      <c r="K168" s="7" t="s">
        <v>153</v>
      </c>
      <c r="L168" s="7" t="s">
        <v>154</v>
      </c>
      <c r="M168" s="7" t="s">
        <v>162</v>
      </c>
      <c r="N168" s="8"/>
      <c r="O168" s="8"/>
      <c r="P168" s="8"/>
      <c r="Q168" s="8"/>
      <c r="R168" s="8"/>
      <c r="S168" s="8"/>
      <c r="T168" s="8"/>
    </row>
    <row r="169" spans="1:20" x14ac:dyDescent="0.25">
      <c r="A169">
        <v>553</v>
      </c>
      <c r="B169" t="s">
        <v>917</v>
      </c>
      <c r="C169" t="s">
        <v>145</v>
      </c>
      <c r="D169" t="s">
        <v>146</v>
      </c>
      <c r="E169" t="s">
        <v>918</v>
      </c>
      <c r="F169" t="s">
        <v>919</v>
      </c>
      <c r="G169" t="s">
        <v>920</v>
      </c>
      <c r="H169" t="s">
        <v>215</v>
      </c>
      <c r="I169" t="s">
        <v>921</v>
      </c>
      <c r="J169" t="s">
        <v>922</v>
      </c>
      <c r="K169" t="s">
        <v>153</v>
      </c>
      <c r="L169" t="s">
        <v>85</v>
      </c>
      <c r="M169" t="s">
        <v>145</v>
      </c>
      <c r="N169" s="8"/>
      <c r="O169" s="8"/>
      <c r="P169" s="8"/>
      <c r="Q169" s="8"/>
      <c r="R169" s="8"/>
      <c r="S169" s="8"/>
      <c r="T169" s="8"/>
    </row>
    <row r="170" spans="1:20" x14ac:dyDescent="0.25">
      <c r="A170" s="7">
        <v>549</v>
      </c>
      <c r="B170" s="7" t="s">
        <v>923</v>
      </c>
      <c r="C170" s="7" t="s">
        <v>145</v>
      </c>
      <c r="D170" s="7" t="s">
        <v>146</v>
      </c>
      <c r="E170" s="7" t="s">
        <v>924</v>
      </c>
      <c r="F170" s="7" t="s">
        <v>925</v>
      </c>
      <c r="G170" s="7" t="s">
        <v>198</v>
      </c>
      <c r="H170" s="7" t="s">
        <v>150</v>
      </c>
      <c r="I170" s="7" t="s">
        <v>926</v>
      </c>
      <c r="J170" s="7" t="s">
        <v>927</v>
      </c>
      <c r="K170" s="7" t="s">
        <v>153</v>
      </c>
      <c r="L170" s="7" t="s">
        <v>85</v>
      </c>
      <c r="M170" s="7" t="s">
        <v>145</v>
      </c>
      <c r="N170" s="8"/>
      <c r="O170" s="8"/>
      <c r="P170" s="8"/>
      <c r="Q170" s="8"/>
      <c r="R170" s="8"/>
      <c r="S170" s="8"/>
      <c r="T170" s="8"/>
    </row>
    <row r="171" spans="1:20" x14ac:dyDescent="0.25">
      <c r="A171">
        <v>595</v>
      </c>
      <c r="B171" t="s">
        <v>928</v>
      </c>
      <c r="C171" t="s">
        <v>145</v>
      </c>
      <c r="D171" t="s">
        <v>146</v>
      </c>
      <c r="E171" t="s">
        <v>929</v>
      </c>
      <c r="F171" t="s">
        <v>930</v>
      </c>
      <c r="G171" t="s">
        <v>177</v>
      </c>
      <c r="H171" t="s">
        <v>150</v>
      </c>
      <c r="I171" t="s">
        <v>931</v>
      </c>
      <c r="J171" t="s">
        <v>932</v>
      </c>
      <c r="K171" t="s">
        <v>153</v>
      </c>
      <c r="L171" t="s">
        <v>85</v>
      </c>
      <c r="M171" t="s">
        <v>145</v>
      </c>
      <c r="N171" s="8"/>
      <c r="O171" s="8"/>
      <c r="P171" s="8"/>
      <c r="Q171" s="8"/>
      <c r="R171" s="8"/>
      <c r="S171" s="8"/>
      <c r="T171" s="8"/>
    </row>
    <row r="172" spans="1:20" x14ac:dyDescent="0.25">
      <c r="A172" s="7">
        <v>570</v>
      </c>
      <c r="B172" s="7" t="s">
        <v>933</v>
      </c>
      <c r="C172" s="7" t="s">
        <v>145</v>
      </c>
      <c r="D172" s="7" t="s">
        <v>146</v>
      </c>
      <c r="E172" s="7" t="s">
        <v>934</v>
      </c>
      <c r="F172" s="7" t="s">
        <v>935</v>
      </c>
      <c r="G172" s="7" t="s">
        <v>936</v>
      </c>
      <c r="H172" s="7" t="s">
        <v>150</v>
      </c>
      <c r="I172" s="7" t="s">
        <v>937</v>
      </c>
      <c r="J172" s="7" t="s">
        <v>938</v>
      </c>
      <c r="K172" s="7" t="s">
        <v>153</v>
      </c>
      <c r="L172" s="7" t="s">
        <v>85</v>
      </c>
      <c r="M172" s="7" t="s">
        <v>145</v>
      </c>
      <c r="N172" s="8"/>
      <c r="O172" s="8"/>
      <c r="P172" s="8"/>
      <c r="Q172" s="8"/>
      <c r="R172" s="8"/>
      <c r="S172" s="8"/>
      <c r="T172" s="8"/>
    </row>
    <row r="173" spans="1:20" x14ac:dyDescent="0.25">
      <c r="A173">
        <v>524</v>
      </c>
      <c r="B173" t="s">
        <v>939</v>
      </c>
      <c r="C173" t="s">
        <v>145</v>
      </c>
      <c r="D173" t="s">
        <v>146</v>
      </c>
      <c r="E173" t="s">
        <v>940</v>
      </c>
      <c r="F173" t="s">
        <v>941</v>
      </c>
      <c r="G173" t="s">
        <v>785</v>
      </c>
      <c r="H173" t="s">
        <v>150</v>
      </c>
      <c r="I173" t="s">
        <v>942</v>
      </c>
      <c r="J173" t="s">
        <v>943</v>
      </c>
      <c r="K173" t="s">
        <v>153</v>
      </c>
      <c r="L173" t="s">
        <v>154</v>
      </c>
      <c r="M173" t="s">
        <v>145</v>
      </c>
      <c r="N173" s="8"/>
      <c r="O173" s="8"/>
      <c r="P173" s="8"/>
      <c r="Q173" s="8"/>
      <c r="R173" s="8"/>
      <c r="S173" s="8"/>
      <c r="T173" s="8"/>
    </row>
    <row r="174" spans="1:20" x14ac:dyDescent="0.25">
      <c r="A174" s="7">
        <v>917</v>
      </c>
      <c r="B174" s="7" t="s">
        <v>944</v>
      </c>
      <c r="C174" s="7" t="s">
        <v>145</v>
      </c>
      <c r="D174" s="7" t="s">
        <v>145</v>
      </c>
      <c r="E174" s="7" t="s">
        <v>945</v>
      </c>
      <c r="F174" s="7" t="s">
        <v>946</v>
      </c>
      <c r="G174" s="7" t="s">
        <v>947</v>
      </c>
      <c r="H174" s="7" t="s">
        <v>150</v>
      </c>
      <c r="I174" s="7" t="s">
        <v>948</v>
      </c>
      <c r="J174" s="7" t="s">
        <v>949</v>
      </c>
      <c r="K174" s="7" t="s">
        <v>153</v>
      </c>
      <c r="L174" s="7" t="s">
        <v>154</v>
      </c>
      <c r="M174" s="7" t="s">
        <v>162</v>
      </c>
      <c r="N174" s="8"/>
      <c r="O174" s="8"/>
      <c r="P174" s="8"/>
      <c r="Q174" s="8"/>
      <c r="R174" s="8"/>
      <c r="S174" s="8"/>
      <c r="T174" s="8"/>
    </row>
    <row r="175" spans="1:20" x14ac:dyDescent="0.25">
      <c r="A175">
        <v>575</v>
      </c>
      <c r="B175" t="s">
        <v>950</v>
      </c>
      <c r="C175" t="s">
        <v>145</v>
      </c>
      <c r="D175" t="s">
        <v>146</v>
      </c>
      <c r="E175" t="s">
        <v>951</v>
      </c>
      <c r="F175" t="s">
        <v>952</v>
      </c>
      <c r="G175" t="s">
        <v>183</v>
      </c>
      <c r="H175" t="s">
        <v>150</v>
      </c>
      <c r="I175" t="s">
        <v>953</v>
      </c>
      <c r="J175" t="s">
        <v>954</v>
      </c>
      <c r="K175" t="s">
        <v>153</v>
      </c>
      <c r="L175" t="s">
        <v>85</v>
      </c>
      <c r="M175" t="s">
        <v>145</v>
      </c>
      <c r="N175" s="8"/>
      <c r="O175" s="8"/>
      <c r="P175" s="8"/>
      <c r="Q175" s="8"/>
      <c r="R175" s="8"/>
      <c r="S175" s="8"/>
      <c r="T175" s="8"/>
    </row>
    <row r="176" spans="1:20" x14ac:dyDescent="0.25">
      <c r="A176" s="7">
        <v>385</v>
      </c>
      <c r="B176" s="7" t="s">
        <v>955</v>
      </c>
      <c r="C176" s="7" t="s">
        <v>145</v>
      </c>
      <c r="D176" s="7" t="s">
        <v>346</v>
      </c>
      <c r="E176" s="7" t="s">
        <v>956</v>
      </c>
      <c r="F176" s="7" t="s">
        <v>957</v>
      </c>
      <c r="G176" s="7" t="s">
        <v>936</v>
      </c>
      <c r="H176" s="7" t="s">
        <v>150</v>
      </c>
      <c r="I176" s="7" t="s">
        <v>958</v>
      </c>
      <c r="J176" s="7" t="s">
        <v>959</v>
      </c>
      <c r="K176" s="7" t="s">
        <v>153</v>
      </c>
      <c r="L176" s="7" t="s">
        <v>154</v>
      </c>
      <c r="M176" s="7" t="s">
        <v>162</v>
      </c>
      <c r="N176" s="8"/>
      <c r="O176" s="8"/>
      <c r="P176" s="8"/>
      <c r="Q176" s="8"/>
      <c r="R176" s="8"/>
      <c r="S176" s="8"/>
      <c r="T176" s="8"/>
    </row>
    <row r="177" spans="1:20" x14ac:dyDescent="0.25">
      <c r="A177">
        <v>746</v>
      </c>
      <c r="B177" t="s">
        <v>960</v>
      </c>
      <c r="C177" t="s">
        <v>652</v>
      </c>
      <c r="D177" t="s">
        <v>304</v>
      </c>
      <c r="E177" t="s">
        <v>961</v>
      </c>
      <c r="F177" t="s">
        <v>962</v>
      </c>
      <c r="G177" t="s">
        <v>466</v>
      </c>
      <c r="H177" t="s">
        <v>150</v>
      </c>
      <c r="I177" t="s">
        <v>963</v>
      </c>
      <c r="J177" t="s">
        <v>741</v>
      </c>
      <c r="K177" t="s">
        <v>153</v>
      </c>
      <c r="L177" t="s">
        <v>85</v>
      </c>
      <c r="M177" t="s">
        <v>162</v>
      </c>
      <c r="N177" s="8"/>
      <c r="O177" s="8"/>
      <c r="P177" s="8"/>
      <c r="Q177" s="8"/>
      <c r="R177" s="8"/>
      <c r="S177" s="8"/>
      <c r="T177" s="8"/>
    </row>
    <row r="178" spans="1:20" x14ac:dyDescent="0.25">
      <c r="A178" s="7">
        <v>664</v>
      </c>
      <c r="B178" s="7" t="s">
        <v>964</v>
      </c>
      <c r="C178" s="7" t="s">
        <v>652</v>
      </c>
      <c r="D178" s="7" t="s">
        <v>304</v>
      </c>
      <c r="E178" s="7" t="s">
        <v>653</v>
      </c>
      <c r="F178" s="7" t="s">
        <v>965</v>
      </c>
      <c r="G178" s="7"/>
      <c r="H178" s="7" t="s">
        <v>150</v>
      </c>
      <c r="I178" s="7" t="s">
        <v>966</v>
      </c>
      <c r="J178" s="7" t="s">
        <v>741</v>
      </c>
      <c r="K178" s="7" t="s">
        <v>153</v>
      </c>
      <c r="L178" s="7" t="s">
        <v>85</v>
      </c>
      <c r="M178" s="7" t="s">
        <v>162</v>
      </c>
      <c r="N178" s="8"/>
      <c r="O178" s="8"/>
      <c r="P178" s="8"/>
      <c r="Q178" s="8"/>
      <c r="R178" s="8"/>
      <c r="S178" s="8"/>
      <c r="T178" s="8"/>
    </row>
    <row r="179" spans="1:20" x14ac:dyDescent="0.25">
      <c r="A179">
        <v>676</v>
      </c>
      <c r="B179" t="s">
        <v>967</v>
      </c>
      <c r="C179" t="s">
        <v>145</v>
      </c>
      <c r="D179" t="s">
        <v>145</v>
      </c>
      <c r="E179" t="s">
        <v>968</v>
      </c>
      <c r="F179" t="s">
        <v>969</v>
      </c>
      <c r="G179" t="s">
        <v>970</v>
      </c>
      <c r="H179" t="s">
        <v>150</v>
      </c>
      <c r="I179" t="s">
        <v>971</v>
      </c>
      <c r="J179" t="s">
        <v>972</v>
      </c>
      <c r="K179" t="s">
        <v>153</v>
      </c>
      <c r="L179" t="s">
        <v>154</v>
      </c>
      <c r="M179" t="s">
        <v>145</v>
      </c>
      <c r="N179" s="8"/>
      <c r="O179" s="8"/>
      <c r="P179" s="8"/>
      <c r="Q179" s="8"/>
      <c r="R179" s="8"/>
      <c r="S179" s="8"/>
      <c r="T179" s="8"/>
    </row>
    <row r="180" spans="1:20" x14ac:dyDescent="0.25">
      <c r="A180" s="7">
        <v>654</v>
      </c>
      <c r="B180" s="7" t="s">
        <v>973</v>
      </c>
      <c r="C180" s="7" t="s">
        <v>145</v>
      </c>
      <c r="D180" s="7" t="s">
        <v>520</v>
      </c>
      <c r="E180" s="7" t="s">
        <v>974</v>
      </c>
      <c r="F180" s="7" t="s">
        <v>975</v>
      </c>
      <c r="G180" s="7" t="s">
        <v>402</v>
      </c>
      <c r="H180" s="7" t="s">
        <v>150</v>
      </c>
      <c r="I180" s="7" t="s">
        <v>976</v>
      </c>
      <c r="J180" s="7" t="s">
        <v>977</v>
      </c>
      <c r="K180" s="7" t="s">
        <v>153</v>
      </c>
      <c r="L180" s="7" t="s">
        <v>154</v>
      </c>
      <c r="M180" s="7" t="s">
        <v>145</v>
      </c>
      <c r="N180" s="8"/>
      <c r="O180" s="8"/>
      <c r="P180" s="8"/>
      <c r="Q180" s="8"/>
      <c r="R180" s="8"/>
      <c r="S180" s="8"/>
      <c r="T180" s="8"/>
    </row>
    <row r="181" spans="1:20" x14ac:dyDescent="0.25">
      <c r="A181">
        <v>475</v>
      </c>
      <c r="B181" t="s">
        <v>978</v>
      </c>
      <c r="C181" t="s">
        <v>381</v>
      </c>
      <c r="D181" t="s">
        <v>287</v>
      </c>
      <c r="E181" t="s">
        <v>979</v>
      </c>
      <c r="F181" t="s">
        <v>980</v>
      </c>
      <c r="G181" t="s">
        <v>390</v>
      </c>
      <c r="H181" t="s">
        <v>150</v>
      </c>
      <c r="I181" t="s">
        <v>981</v>
      </c>
      <c r="J181" t="s">
        <v>392</v>
      </c>
      <c r="K181" t="s">
        <v>153</v>
      </c>
      <c r="L181" t="s">
        <v>85</v>
      </c>
      <c r="M181" t="s">
        <v>162</v>
      </c>
      <c r="N181" s="8"/>
      <c r="O181" s="8"/>
      <c r="P181" s="8"/>
      <c r="Q181" s="8"/>
      <c r="R181" s="8"/>
      <c r="S181" s="8"/>
      <c r="T181" s="8"/>
    </row>
    <row r="182" spans="1:20" x14ac:dyDescent="0.25">
      <c r="A182" s="7">
        <v>354</v>
      </c>
      <c r="B182" s="7" t="s">
        <v>982</v>
      </c>
      <c r="C182" s="7" t="s">
        <v>145</v>
      </c>
      <c r="D182" s="7" t="s">
        <v>417</v>
      </c>
      <c r="E182" s="7" t="s">
        <v>983</v>
      </c>
      <c r="F182" s="7" t="s">
        <v>984</v>
      </c>
      <c r="G182" s="7" t="s">
        <v>408</v>
      </c>
      <c r="H182" s="7" t="s">
        <v>150</v>
      </c>
      <c r="I182" s="7" t="s">
        <v>985</v>
      </c>
      <c r="J182" s="7" t="s">
        <v>986</v>
      </c>
      <c r="K182" s="7" t="s">
        <v>153</v>
      </c>
      <c r="L182" s="7" t="s">
        <v>154</v>
      </c>
      <c r="M182" s="7" t="s">
        <v>162</v>
      </c>
      <c r="N182" s="8"/>
      <c r="O182" s="8"/>
      <c r="P182" s="8"/>
      <c r="Q182" s="8"/>
      <c r="R182" s="8"/>
      <c r="S182" s="8"/>
      <c r="T182" s="8"/>
    </row>
    <row r="183" spans="1:20" x14ac:dyDescent="0.25">
      <c r="A183">
        <v>769</v>
      </c>
      <c r="B183" t="s">
        <v>987</v>
      </c>
      <c r="C183" t="s">
        <v>145</v>
      </c>
      <c r="D183" t="s">
        <v>145</v>
      </c>
      <c r="E183" t="s">
        <v>988</v>
      </c>
      <c r="F183" t="s">
        <v>989</v>
      </c>
      <c r="G183" t="s">
        <v>149</v>
      </c>
      <c r="H183" t="s">
        <v>150</v>
      </c>
      <c r="I183" t="s">
        <v>990</v>
      </c>
      <c r="J183" t="s">
        <v>991</v>
      </c>
      <c r="K183" t="s">
        <v>153</v>
      </c>
      <c r="L183" t="s">
        <v>154</v>
      </c>
      <c r="M183" t="s">
        <v>145</v>
      </c>
      <c r="N183" s="8"/>
      <c r="O183" s="8"/>
      <c r="P183" s="8"/>
      <c r="Q183" s="8"/>
      <c r="R183" s="8"/>
      <c r="S183" s="8"/>
      <c r="T183" s="8"/>
    </row>
    <row r="184" spans="1:20" x14ac:dyDescent="0.25">
      <c r="A184" s="7">
        <v>753</v>
      </c>
      <c r="B184" s="7" t="s">
        <v>992</v>
      </c>
      <c r="C184" s="7" t="s">
        <v>145</v>
      </c>
      <c r="D184" s="7" t="s">
        <v>287</v>
      </c>
      <c r="E184" s="7" t="s">
        <v>993</v>
      </c>
      <c r="F184" s="7" t="s">
        <v>994</v>
      </c>
      <c r="G184" s="7" t="s">
        <v>995</v>
      </c>
      <c r="H184" s="7" t="s">
        <v>150</v>
      </c>
      <c r="I184" s="7" t="s">
        <v>996</v>
      </c>
      <c r="J184" s="7" t="s">
        <v>997</v>
      </c>
      <c r="K184" s="7" t="s">
        <v>153</v>
      </c>
      <c r="L184" s="7" t="s">
        <v>154</v>
      </c>
      <c r="M184" s="7" t="s">
        <v>162</v>
      </c>
      <c r="N184" s="8"/>
      <c r="O184" s="8"/>
      <c r="P184" s="8"/>
      <c r="Q184" s="8"/>
      <c r="R184" s="8"/>
      <c r="S184" s="8"/>
      <c r="T184" s="8"/>
    </row>
    <row r="185" spans="1:20" x14ac:dyDescent="0.25">
      <c r="A185">
        <v>655</v>
      </c>
      <c r="B185" t="s">
        <v>998</v>
      </c>
      <c r="C185" t="s">
        <v>145</v>
      </c>
      <c r="D185" t="s">
        <v>287</v>
      </c>
      <c r="E185" t="s">
        <v>999</v>
      </c>
      <c r="F185" t="s">
        <v>1000</v>
      </c>
      <c r="H185" t="s">
        <v>150</v>
      </c>
      <c r="I185" t="s">
        <v>1001</v>
      </c>
      <c r="J185" t="s">
        <v>1002</v>
      </c>
      <c r="K185" t="s">
        <v>153</v>
      </c>
      <c r="L185" t="s">
        <v>275</v>
      </c>
      <c r="M185" t="s">
        <v>145</v>
      </c>
      <c r="N185" s="8"/>
      <c r="O185" s="8"/>
      <c r="P185" s="8"/>
      <c r="Q185" s="8"/>
      <c r="R185" s="8"/>
      <c r="S185" s="8"/>
      <c r="T185" s="8"/>
    </row>
    <row r="186" spans="1:20" x14ac:dyDescent="0.25">
      <c r="A186" s="7">
        <v>347</v>
      </c>
      <c r="B186" s="7" t="s">
        <v>1003</v>
      </c>
      <c r="C186" s="7" t="s">
        <v>145</v>
      </c>
      <c r="D186" s="7" t="s">
        <v>417</v>
      </c>
      <c r="E186" s="7" t="s">
        <v>1004</v>
      </c>
      <c r="F186" s="7" t="s">
        <v>1005</v>
      </c>
      <c r="G186" s="7" t="s">
        <v>502</v>
      </c>
      <c r="H186" s="7" t="s">
        <v>150</v>
      </c>
      <c r="I186" s="7" t="s">
        <v>1006</v>
      </c>
      <c r="J186" s="7" t="s">
        <v>1007</v>
      </c>
      <c r="K186" s="7" t="s">
        <v>153</v>
      </c>
      <c r="L186" s="7" t="s">
        <v>85</v>
      </c>
      <c r="M186" s="7" t="s">
        <v>145</v>
      </c>
      <c r="N186" s="8"/>
      <c r="O186" s="8"/>
      <c r="P186" s="8"/>
      <c r="Q186" s="8"/>
      <c r="R186" s="8"/>
      <c r="S186" s="8"/>
      <c r="T186" s="8"/>
    </row>
    <row r="187" spans="1:20" x14ac:dyDescent="0.25">
      <c r="A187">
        <v>364</v>
      </c>
      <c r="B187" t="s">
        <v>1008</v>
      </c>
      <c r="C187" t="s">
        <v>145</v>
      </c>
      <c r="D187" t="s">
        <v>287</v>
      </c>
      <c r="E187" t="s">
        <v>1009</v>
      </c>
      <c r="F187" t="s">
        <v>1010</v>
      </c>
      <c r="G187" t="s">
        <v>1011</v>
      </c>
      <c r="H187" t="s">
        <v>215</v>
      </c>
      <c r="I187" t="s">
        <v>1012</v>
      </c>
      <c r="J187" t="s">
        <v>1013</v>
      </c>
      <c r="K187" t="s">
        <v>153</v>
      </c>
      <c r="L187" t="s">
        <v>154</v>
      </c>
      <c r="M187" t="s">
        <v>145</v>
      </c>
      <c r="N187" s="8"/>
      <c r="O187" s="8"/>
      <c r="P187" s="8"/>
      <c r="Q187" s="8"/>
      <c r="R187" s="8"/>
      <c r="S187" s="8"/>
      <c r="T187" s="8"/>
    </row>
    <row r="188" spans="1:20" x14ac:dyDescent="0.25">
      <c r="A188" s="7">
        <v>699</v>
      </c>
      <c r="B188" s="7" t="s">
        <v>1014</v>
      </c>
      <c r="C188" s="7" t="s">
        <v>145</v>
      </c>
      <c r="D188" s="7" t="s">
        <v>417</v>
      </c>
      <c r="E188" s="7" t="s">
        <v>1015</v>
      </c>
      <c r="F188" s="7" t="s">
        <v>1016</v>
      </c>
      <c r="G188" s="7" t="s">
        <v>598</v>
      </c>
      <c r="H188" s="7" t="s">
        <v>150</v>
      </c>
      <c r="I188" s="7" t="s">
        <v>1017</v>
      </c>
      <c r="J188" s="7" t="s">
        <v>1018</v>
      </c>
      <c r="K188" s="7" t="s">
        <v>153</v>
      </c>
      <c r="L188" s="7" t="s">
        <v>154</v>
      </c>
      <c r="M188" s="7" t="s">
        <v>162</v>
      </c>
      <c r="N188" s="8"/>
      <c r="O188" s="8"/>
      <c r="P188" s="8"/>
      <c r="Q188" s="8"/>
      <c r="R188" s="8"/>
      <c r="S188" s="8"/>
      <c r="T188" s="8"/>
    </row>
    <row r="189" spans="1:20" x14ac:dyDescent="0.25">
      <c r="A189">
        <v>459</v>
      </c>
      <c r="B189" t="s">
        <v>1019</v>
      </c>
      <c r="C189" t="s">
        <v>145</v>
      </c>
      <c r="D189" t="s">
        <v>146</v>
      </c>
      <c r="E189" t="s">
        <v>1020</v>
      </c>
      <c r="F189" t="s">
        <v>1021</v>
      </c>
      <c r="G189" t="s">
        <v>198</v>
      </c>
      <c r="H189" t="s">
        <v>150</v>
      </c>
      <c r="I189" t="s">
        <v>1022</v>
      </c>
      <c r="J189" t="s">
        <v>1023</v>
      </c>
      <c r="K189" t="s">
        <v>153</v>
      </c>
      <c r="L189" t="s">
        <v>85</v>
      </c>
      <c r="M189" t="s">
        <v>145</v>
      </c>
      <c r="N189" s="8"/>
      <c r="O189" s="8"/>
      <c r="P189" s="8"/>
      <c r="Q189" s="8"/>
      <c r="R189" s="8"/>
      <c r="S189" s="8"/>
      <c r="T189" s="8"/>
    </row>
    <row r="190" spans="1:20" x14ac:dyDescent="0.25">
      <c r="A190" s="7">
        <v>373</v>
      </c>
      <c r="B190" s="7" t="s">
        <v>1024</v>
      </c>
      <c r="C190" s="7" t="s">
        <v>1025</v>
      </c>
      <c r="D190" s="7" t="s">
        <v>287</v>
      </c>
      <c r="E190" s="7" t="s">
        <v>1026</v>
      </c>
      <c r="F190" s="7" t="s">
        <v>1027</v>
      </c>
      <c r="G190" s="7" t="s">
        <v>1028</v>
      </c>
      <c r="H190" s="7" t="s">
        <v>1029</v>
      </c>
      <c r="I190" s="7" t="s">
        <v>1030</v>
      </c>
      <c r="J190" s="7" t="s">
        <v>1031</v>
      </c>
      <c r="K190" s="7" t="s">
        <v>153</v>
      </c>
      <c r="L190" s="7" t="s">
        <v>85</v>
      </c>
      <c r="M190" s="7" t="s">
        <v>145</v>
      </c>
      <c r="N190" s="8"/>
      <c r="O190" s="8"/>
      <c r="P190" s="8"/>
      <c r="Q190" s="8"/>
      <c r="R190" s="8"/>
      <c r="S190" s="8"/>
      <c r="T190" s="8"/>
    </row>
    <row r="191" spans="1:20" x14ac:dyDescent="0.25">
      <c r="A191">
        <v>375</v>
      </c>
      <c r="B191" t="s">
        <v>1032</v>
      </c>
      <c r="C191" t="s">
        <v>1025</v>
      </c>
      <c r="D191" t="s">
        <v>287</v>
      </c>
      <c r="E191" t="s">
        <v>1026</v>
      </c>
      <c r="F191" t="s">
        <v>1033</v>
      </c>
      <c r="G191" t="s">
        <v>526</v>
      </c>
      <c r="H191" t="s">
        <v>527</v>
      </c>
      <c r="I191" t="s">
        <v>1030</v>
      </c>
      <c r="J191" t="s">
        <v>1031</v>
      </c>
      <c r="K191" t="s">
        <v>153</v>
      </c>
      <c r="L191" t="s">
        <v>85</v>
      </c>
      <c r="M191" t="s">
        <v>162</v>
      </c>
      <c r="N191" s="8"/>
      <c r="O191" s="8"/>
      <c r="P191" s="8"/>
      <c r="Q191" s="8"/>
      <c r="R191" s="8"/>
      <c r="S191" s="8"/>
      <c r="T191" s="8"/>
    </row>
    <row r="192" spans="1:20" x14ac:dyDescent="0.25">
      <c r="A192" s="7">
        <v>372</v>
      </c>
      <c r="B192" s="7" t="s">
        <v>1034</v>
      </c>
      <c r="C192" s="7" t="s">
        <v>1025</v>
      </c>
      <c r="D192" s="7" t="s">
        <v>287</v>
      </c>
      <c r="E192" s="7" t="s">
        <v>1026</v>
      </c>
      <c r="F192" s="7" t="s">
        <v>1035</v>
      </c>
      <c r="G192" s="7" t="s">
        <v>1036</v>
      </c>
      <c r="H192" s="7" t="s">
        <v>215</v>
      </c>
      <c r="I192" s="7" t="s">
        <v>1030</v>
      </c>
      <c r="J192" s="7" t="s">
        <v>1031</v>
      </c>
      <c r="K192" s="7" t="s">
        <v>153</v>
      </c>
      <c r="L192" s="7" t="s">
        <v>154</v>
      </c>
      <c r="M192" s="7" t="s">
        <v>145</v>
      </c>
      <c r="N192" s="8"/>
      <c r="O192" s="8"/>
      <c r="P192" s="8"/>
      <c r="Q192" s="8"/>
      <c r="R192" s="8"/>
      <c r="S192" s="8"/>
      <c r="T192" s="8"/>
    </row>
    <row r="193" spans="1:20" x14ac:dyDescent="0.25">
      <c r="A193">
        <v>838</v>
      </c>
      <c r="B193" t="s">
        <v>1037</v>
      </c>
      <c r="C193" t="s">
        <v>1025</v>
      </c>
      <c r="D193" t="s">
        <v>145</v>
      </c>
      <c r="E193" t="s">
        <v>1026</v>
      </c>
      <c r="F193" t="s">
        <v>1038</v>
      </c>
      <c r="G193" t="s">
        <v>909</v>
      </c>
      <c r="H193" t="s">
        <v>910</v>
      </c>
      <c r="I193" t="s">
        <v>1039</v>
      </c>
      <c r="J193" t="s">
        <v>1040</v>
      </c>
      <c r="K193" t="s">
        <v>153</v>
      </c>
      <c r="L193" t="s">
        <v>85</v>
      </c>
      <c r="M193" t="s">
        <v>162</v>
      </c>
      <c r="N193" s="8"/>
      <c r="O193" s="8"/>
      <c r="P193" s="8"/>
      <c r="Q193" s="8"/>
      <c r="R193" s="8"/>
      <c r="S193" s="8"/>
      <c r="T193" s="8"/>
    </row>
    <row r="194" spans="1:20" x14ac:dyDescent="0.25">
      <c r="A194" s="7">
        <v>376</v>
      </c>
      <c r="B194" s="7" t="s">
        <v>1041</v>
      </c>
      <c r="C194" s="7" t="s">
        <v>1025</v>
      </c>
      <c r="D194" s="7" t="s">
        <v>287</v>
      </c>
      <c r="E194" s="7" t="s">
        <v>1026</v>
      </c>
      <c r="F194" s="7" t="s">
        <v>1042</v>
      </c>
      <c r="G194" s="7" t="s">
        <v>502</v>
      </c>
      <c r="H194" s="7" t="s">
        <v>150</v>
      </c>
      <c r="I194" s="7" t="s">
        <v>1030</v>
      </c>
      <c r="J194" s="7" t="s">
        <v>1031</v>
      </c>
      <c r="K194" s="7" t="s">
        <v>153</v>
      </c>
      <c r="L194" s="7" t="s">
        <v>85</v>
      </c>
      <c r="M194" s="7" t="s">
        <v>162</v>
      </c>
      <c r="N194" s="8"/>
      <c r="O194" s="8"/>
      <c r="P194" s="8"/>
      <c r="Q194" s="8"/>
      <c r="R194" s="8"/>
      <c r="S194" s="8"/>
      <c r="T194" s="8"/>
    </row>
    <row r="195" spans="1:20" x14ac:dyDescent="0.25">
      <c r="A195">
        <v>374</v>
      </c>
      <c r="B195" t="s">
        <v>1043</v>
      </c>
      <c r="C195" t="s">
        <v>1025</v>
      </c>
      <c r="D195" t="s">
        <v>287</v>
      </c>
      <c r="E195" t="s">
        <v>1026</v>
      </c>
      <c r="F195" t="s">
        <v>1044</v>
      </c>
      <c r="G195" t="s">
        <v>1045</v>
      </c>
      <c r="H195" t="s">
        <v>1046</v>
      </c>
      <c r="I195" t="s">
        <v>1030</v>
      </c>
      <c r="J195" t="s">
        <v>1031</v>
      </c>
      <c r="K195" t="s">
        <v>153</v>
      </c>
      <c r="L195" t="s">
        <v>85</v>
      </c>
      <c r="M195" t="s">
        <v>162</v>
      </c>
      <c r="N195" s="8"/>
      <c r="O195" s="8"/>
      <c r="P195" s="8"/>
      <c r="Q195" s="8"/>
      <c r="R195" s="8"/>
      <c r="S195" s="8"/>
      <c r="T195" s="8"/>
    </row>
    <row r="196" spans="1:20" x14ac:dyDescent="0.25">
      <c r="A196" s="7">
        <v>849</v>
      </c>
      <c r="B196" s="7" t="s">
        <v>1047</v>
      </c>
      <c r="C196" s="7" t="s">
        <v>145</v>
      </c>
      <c r="D196" s="7" t="s">
        <v>145</v>
      </c>
      <c r="E196" s="7" t="s">
        <v>1048</v>
      </c>
      <c r="F196" s="7" t="s">
        <v>1049</v>
      </c>
      <c r="G196" s="7" t="s">
        <v>1050</v>
      </c>
      <c r="H196" s="7" t="s">
        <v>150</v>
      </c>
      <c r="I196" s="7" t="s">
        <v>1051</v>
      </c>
      <c r="J196" s="7" t="s">
        <v>1052</v>
      </c>
      <c r="K196" s="7" t="s">
        <v>153</v>
      </c>
      <c r="L196" s="7" t="s">
        <v>154</v>
      </c>
      <c r="M196" s="7" t="s">
        <v>162</v>
      </c>
      <c r="N196" s="8"/>
      <c r="O196" s="8"/>
      <c r="P196" s="8"/>
      <c r="Q196" s="8"/>
      <c r="R196" s="8"/>
      <c r="S196" s="8"/>
      <c r="T196" s="8"/>
    </row>
    <row r="197" spans="1:20" x14ac:dyDescent="0.25">
      <c r="A197">
        <v>349</v>
      </c>
      <c r="B197" t="s">
        <v>1053</v>
      </c>
      <c r="C197" t="s">
        <v>145</v>
      </c>
      <c r="D197" t="s">
        <v>287</v>
      </c>
      <c r="E197" t="s">
        <v>1054</v>
      </c>
      <c r="F197" t="s">
        <v>1055</v>
      </c>
      <c r="G197" t="s">
        <v>1056</v>
      </c>
      <c r="H197" t="s">
        <v>150</v>
      </c>
      <c r="I197" t="s">
        <v>1057</v>
      </c>
      <c r="K197" t="s">
        <v>153</v>
      </c>
      <c r="L197" t="s">
        <v>85</v>
      </c>
      <c r="M197" t="s">
        <v>145</v>
      </c>
      <c r="N197" s="8"/>
      <c r="O197" s="8"/>
      <c r="P197" s="8"/>
      <c r="Q197" s="8"/>
      <c r="R197" s="8"/>
      <c r="S197" s="8"/>
      <c r="T197" s="8"/>
    </row>
    <row r="198" spans="1:20" x14ac:dyDescent="0.25">
      <c r="A198" s="7">
        <v>545</v>
      </c>
      <c r="B198" s="7" t="s">
        <v>1058</v>
      </c>
      <c r="C198" s="7" t="s">
        <v>145</v>
      </c>
      <c r="D198" s="7" t="s">
        <v>1059</v>
      </c>
      <c r="E198" s="7" t="s">
        <v>1060</v>
      </c>
      <c r="F198" s="7" t="s">
        <v>1061</v>
      </c>
      <c r="G198" s="7" t="s">
        <v>183</v>
      </c>
      <c r="H198" s="7" t="s">
        <v>150</v>
      </c>
      <c r="I198" s="7" t="s">
        <v>1062</v>
      </c>
      <c r="J198" s="7" t="s">
        <v>1063</v>
      </c>
      <c r="K198" s="7" t="s">
        <v>153</v>
      </c>
      <c r="L198" s="7" t="s">
        <v>154</v>
      </c>
      <c r="M198" s="7" t="s">
        <v>162</v>
      </c>
      <c r="N198" s="8"/>
      <c r="O198" s="8"/>
      <c r="P198" s="8"/>
      <c r="Q198" s="8"/>
      <c r="R198" s="8"/>
      <c r="S198" s="8"/>
      <c r="T198" s="8"/>
    </row>
    <row r="199" spans="1:20" x14ac:dyDescent="0.25">
      <c r="A199">
        <v>546</v>
      </c>
      <c r="B199" t="s">
        <v>1058</v>
      </c>
      <c r="C199" t="s">
        <v>145</v>
      </c>
      <c r="D199" t="s">
        <v>1059</v>
      </c>
      <c r="E199" t="s">
        <v>1064</v>
      </c>
      <c r="F199" t="s">
        <v>1065</v>
      </c>
      <c r="G199" t="s">
        <v>159</v>
      </c>
      <c r="H199" t="s">
        <v>150</v>
      </c>
      <c r="I199" t="s">
        <v>1062</v>
      </c>
      <c r="J199" t="s">
        <v>1063</v>
      </c>
      <c r="K199" t="s">
        <v>153</v>
      </c>
      <c r="L199" t="s">
        <v>154</v>
      </c>
      <c r="M199" t="s">
        <v>145</v>
      </c>
      <c r="N199" s="8"/>
      <c r="O199" s="8"/>
      <c r="P199" s="8"/>
      <c r="Q199" s="8"/>
      <c r="R199" s="8"/>
      <c r="S199" s="8"/>
      <c r="T199" s="8"/>
    </row>
    <row r="200" spans="1:20" x14ac:dyDescent="0.25">
      <c r="A200" s="7">
        <v>371</v>
      </c>
      <c r="B200" s="7" t="s">
        <v>1066</v>
      </c>
      <c r="C200" s="7" t="s">
        <v>145</v>
      </c>
      <c r="D200" s="7" t="s">
        <v>1059</v>
      </c>
      <c r="E200" s="7" t="s">
        <v>1067</v>
      </c>
      <c r="F200" s="7" t="s">
        <v>1068</v>
      </c>
      <c r="G200" s="7" t="s">
        <v>1069</v>
      </c>
      <c r="H200" s="7" t="s">
        <v>150</v>
      </c>
      <c r="I200" s="7" t="s">
        <v>1070</v>
      </c>
      <c r="J200" s="7" t="s">
        <v>1071</v>
      </c>
      <c r="K200" s="7" t="s">
        <v>153</v>
      </c>
      <c r="L200" s="7" t="s">
        <v>154</v>
      </c>
      <c r="M200" s="7" t="s">
        <v>145</v>
      </c>
      <c r="N200" s="8"/>
      <c r="O200" s="8"/>
      <c r="P200" s="8"/>
      <c r="Q200" s="8"/>
      <c r="R200" s="8"/>
      <c r="S200" s="8"/>
      <c r="T200" s="8"/>
    </row>
    <row r="201" spans="1:20" x14ac:dyDescent="0.25">
      <c r="A201">
        <v>844</v>
      </c>
      <c r="B201" t="s">
        <v>1072</v>
      </c>
      <c r="C201" t="s">
        <v>145</v>
      </c>
      <c r="D201" t="s">
        <v>145</v>
      </c>
      <c r="E201" t="s">
        <v>1073</v>
      </c>
      <c r="F201" t="s">
        <v>1074</v>
      </c>
      <c r="G201" t="s">
        <v>593</v>
      </c>
      <c r="H201" t="s">
        <v>150</v>
      </c>
      <c r="I201" t="s">
        <v>1075</v>
      </c>
      <c r="J201" t="s">
        <v>1076</v>
      </c>
      <c r="K201" t="s">
        <v>153</v>
      </c>
      <c r="L201" t="s">
        <v>154</v>
      </c>
      <c r="M201" t="s">
        <v>162</v>
      </c>
      <c r="N201" s="8"/>
      <c r="O201" s="8"/>
      <c r="P201" s="8"/>
      <c r="Q201" s="8"/>
      <c r="R201" s="8"/>
      <c r="S201" s="8"/>
      <c r="T201" s="8"/>
    </row>
    <row r="202" spans="1:20" x14ac:dyDescent="0.25">
      <c r="A202" s="7">
        <v>380</v>
      </c>
      <c r="B202" s="7" t="s">
        <v>1077</v>
      </c>
      <c r="C202" s="7" t="s">
        <v>145</v>
      </c>
      <c r="D202" s="7" t="s">
        <v>1059</v>
      </c>
      <c r="E202" s="7" t="s">
        <v>1078</v>
      </c>
      <c r="F202" s="7" t="s">
        <v>1079</v>
      </c>
      <c r="G202" s="7" t="s">
        <v>1080</v>
      </c>
      <c r="H202" s="7" t="s">
        <v>150</v>
      </c>
      <c r="I202" s="7" t="s">
        <v>1081</v>
      </c>
      <c r="J202" s="7" t="s">
        <v>1082</v>
      </c>
      <c r="K202" s="7" t="s">
        <v>153</v>
      </c>
      <c r="L202" s="7" t="s">
        <v>154</v>
      </c>
      <c r="M202" s="7" t="s">
        <v>145</v>
      </c>
      <c r="N202" s="8"/>
      <c r="O202" s="8"/>
      <c r="P202" s="8"/>
      <c r="Q202" s="8"/>
      <c r="R202" s="8"/>
      <c r="S202" s="8"/>
      <c r="T202" s="8"/>
    </row>
    <row r="203" spans="1:20" x14ac:dyDescent="0.25">
      <c r="A203">
        <v>853</v>
      </c>
      <c r="B203" t="s">
        <v>1083</v>
      </c>
      <c r="C203" t="s">
        <v>145</v>
      </c>
      <c r="D203" t="s">
        <v>145</v>
      </c>
      <c r="E203" t="s">
        <v>1084</v>
      </c>
      <c r="F203" t="s">
        <v>1085</v>
      </c>
      <c r="G203" t="s">
        <v>1086</v>
      </c>
      <c r="H203" t="s">
        <v>150</v>
      </c>
      <c r="I203" t="s">
        <v>1087</v>
      </c>
      <c r="K203" t="s">
        <v>153</v>
      </c>
      <c r="L203" t="s">
        <v>154</v>
      </c>
      <c r="M203" t="s">
        <v>162</v>
      </c>
      <c r="N203" s="8"/>
      <c r="O203" s="8"/>
      <c r="P203" s="8"/>
      <c r="Q203" s="8"/>
      <c r="R203" s="8"/>
      <c r="S203" s="8"/>
      <c r="T203" s="8"/>
    </row>
    <row r="204" spans="1:20" x14ac:dyDescent="0.25">
      <c r="A204" s="7">
        <v>343</v>
      </c>
      <c r="B204" s="7" t="s">
        <v>1088</v>
      </c>
      <c r="C204" s="7" t="s">
        <v>145</v>
      </c>
      <c r="D204" s="7" t="s">
        <v>1059</v>
      </c>
      <c r="E204" s="7" t="s">
        <v>1089</v>
      </c>
      <c r="F204" s="7" t="s">
        <v>1090</v>
      </c>
      <c r="G204" s="7" t="s">
        <v>159</v>
      </c>
      <c r="H204" s="7" t="s">
        <v>150</v>
      </c>
      <c r="I204" s="7" t="s">
        <v>1091</v>
      </c>
      <c r="J204" s="7" t="s">
        <v>1092</v>
      </c>
      <c r="K204" s="7" t="s">
        <v>153</v>
      </c>
      <c r="L204" s="7" t="s">
        <v>154</v>
      </c>
      <c r="M204" s="7" t="s">
        <v>162</v>
      </c>
      <c r="N204" s="8"/>
      <c r="O204" s="8"/>
      <c r="P204" s="8"/>
      <c r="Q204" s="8"/>
      <c r="R204" s="8"/>
      <c r="S204" s="8"/>
      <c r="T204" s="8"/>
    </row>
    <row r="205" spans="1:20" x14ac:dyDescent="0.25">
      <c r="A205">
        <v>584</v>
      </c>
      <c r="B205" t="s">
        <v>1093</v>
      </c>
      <c r="C205" t="s">
        <v>145</v>
      </c>
      <c r="D205" t="s">
        <v>1059</v>
      </c>
      <c r="E205" t="s">
        <v>1094</v>
      </c>
      <c r="F205" t="s">
        <v>1095</v>
      </c>
      <c r="G205" t="s">
        <v>1096</v>
      </c>
      <c r="H205" t="s">
        <v>150</v>
      </c>
      <c r="I205" t="s">
        <v>1097</v>
      </c>
      <c r="J205" t="s">
        <v>1098</v>
      </c>
      <c r="K205" t="s">
        <v>153</v>
      </c>
      <c r="L205" t="s">
        <v>85</v>
      </c>
      <c r="M205" t="s">
        <v>145</v>
      </c>
      <c r="N205" s="8"/>
      <c r="O205" s="8"/>
      <c r="P205" s="8"/>
      <c r="Q205" s="8"/>
      <c r="R205" s="8"/>
      <c r="S205" s="8"/>
      <c r="T205" s="8"/>
    </row>
    <row r="206" spans="1:20" x14ac:dyDescent="0.25">
      <c r="A206" s="7">
        <v>622</v>
      </c>
      <c r="B206" s="7" t="s">
        <v>1099</v>
      </c>
      <c r="C206" s="7" t="s">
        <v>145</v>
      </c>
      <c r="D206" s="7" t="s">
        <v>1059</v>
      </c>
      <c r="E206" s="7" t="s">
        <v>1100</v>
      </c>
      <c r="F206" s="7" t="s">
        <v>1101</v>
      </c>
      <c r="G206" s="7"/>
      <c r="H206" s="7" t="s">
        <v>150</v>
      </c>
      <c r="I206" s="7" t="s">
        <v>1102</v>
      </c>
      <c r="J206" s="7" t="s">
        <v>1103</v>
      </c>
      <c r="K206" s="7" t="s">
        <v>153</v>
      </c>
      <c r="L206" s="7" t="s">
        <v>154</v>
      </c>
      <c r="M206" s="7" t="s">
        <v>162</v>
      </c>
      <c r="N206" s="8"/>
      <c r="O206" s="8"/>
      <c r="P206" s="8"/>
      <c r="Q206" s="8"/>
      <c r="R206" s="8"/>
      <c r="S206" s="8"/>
      <c r="T206" s="8"/>
    </row>
    <row r="207" spans="1:20" x14ac:dyDescent="0.25">
      <c r="A207">
        <v>758</v>
      </c>
      <c r="B207" t="s">
        <v>1104</v>
      </c>
      <c r="C207" t="s">
        <v>145</v>
      </c>
      <c r="D207" t="s">
        <v>145</v>
      </c>
      <c r="E207" t="s">
        <v>1104</v>
      </c>
      <c r="F207" t="s">
        <v>1105</v>
      </c>
      <c r="G207" t="s">
        <v>183</v>
      </c>
      <c r="H207" t="s">
        <v>150</v>
      </c>
      <c r="I207" t="s">
        <v>1106</v>
      </c>
      <c r="J207" t="s">
        <v>1107</v>
      </c>
      <c r="K207" t="s">
        <v>153</v>
      </c>
      <c r="L207" t="s">
        <v>154</v>
      </c>
      <c r="M207" t="s">
        <v>162</v>
      </c>
      <c r="N207" s="8"/>
      <c r="O207" s="8"/>
      <c r="P207" s="8"/>
      <c r="Q207" s="8"/>
      <c r="R207" s="8"/>
      <c r="S207" s="8"/>
      <c r="T207" s="8"/>
    </row>
    <row r="208" spans="1:20" x14ac:dyDescent="0.25">
      <c r="A208" s="7">
        <v>531</v>
      </c>
      <c r="B208" s="7" t="s">
        <v>1108</v>
      </c>
      <c r="C208" s="7" t="s">
        <v>145</v>
      </c>
      <c r="D208" s="7" t="s">
        <v>1059</v>
      </c>
      <c r="E208" s="7" t="s">
        <v>1109</v>
      </c>
      <c r="F208" s="7" t="s">
        <v>1110</v>
      </c>
      <c r="G208" s="7" t="s">
        <v>183</v>
      </c>
      <c r="H208" s="7" t="s">
        <v>150</v>
      </c>
      <c r="I208" s="7" t="s">
        <v>1111</v>
      </c>
      <c r="J208" s="7" t="s">
        <v>1112</v>
      </c>
      <c r="K208" s="7" t="s">
        <v>153</v>
      </c>
      <c r="L208" s="7" t="s">
        <v>85</v>
      </c>
      <c r="M208" s="7" t="s">
        <v>145</v>
      </c>
      <c r="N208" s="8"/>
      <c r="O208" s="8"/>
      <c r="P208" s="8"/>
      <c r="Q208" s="8"/>
      <c r="R208" s="8"/>
      <c r="S208" s="8"/>
      <c r="T208" s="8"/>
    </row>
    <row r="209" spans="1:20" x14ac:dyDescent="0.25">
      <c r="A209">
        <v>742</v>
      </c>
      <c r="B209" t="s">
        <v>1113</v>
      </c>
      <c r="C209" t="s">
        <v>145</v>
      </c>
      <c r="D209" t="s">
        <v>145</v>
      </c>
      <c r="E209" t="s">
        <v>1114</v>
      </c>
      <c r="F209" t="s">
        <v>1115</v>
      </c>
      <c r="G209" t="s">
        <v>1116</v>
      </c>
      <c r="H209" t="s">
        <v>150</v>
      </c>
      <c r="I209" t="s">
        <v>1117</v>
      </c>
      <c r="J209" t="s">
        <v>1118</v>
      </c>
      <c r="K209" t="s">
        <v>153</v>
      </c>
      <c r="L209" t="s">
        <v>154</v>
      </c>
      <c r="M209" t="s">
        <v>162</v>
      </c>
      <c r="N209" s="8"/>
      <c r="O209" s="8"/>
      <c r="P209" s="8"/>
      <c r="Q209" s="8"/>
      <c r="R209" s="8"/>
      <c r="S209" s="8"/>
      <c r="T209" s="8"/>
    </row>
    <row r="210" spans="1:20" x14ac:dyDescent="0.25">
      <c r="A210" s="7">
        <v>666</v>
      </c>
      <c r="B210" s="7" t="s">
        <v>1119</v>
      </c>
      <c r="C210" s="7" t="s">
        <v>145</v>
      </c>
      <c r="D210" s="7" t="s">
        <v>146</v>
      </c>
      <c r="E210" s="7" t="s">
        <v>1120</v>
      </c>
      <c r="F210" s="7" t="s">
        <v>1121</v>
      </c>
      <c r="G210" s="7" t="s">
        <v>593</v>
      </c>
      <c r="H210" s="7" t="s">
        <v>150</v>
      </c>
      <c r="I210" s="7" t="s">
        <v>1117</v>
      </c>
      <c r="J210" s="7" t="s">
        <v>1118</v>
      </c>
      <c r="K210" s="7" t="s">
        <v>153</v>
      </c>
      <c r="L210" s="7" t="s">
        <v>154</v>
      </c>
      <c r="M210" s="7" t="s">
        <v>145</v>
      </c>
      <c r="N210" s="8"/>
      <c r="O210" s="8"/>
      <c r="P210" s="8"/>
      <c r="Q210" s="8"/>
      <c r="R210" s="8"/>
      <c r="S210" s="8"/>
      <c r="T210" s="8"/>
    </row>
    <row r="211" spans="1:20" x14ac:dyDescent="0.25">
      <c r="A211">
        <v>441</v>
      </c>
      <c r="B211" t="s">
        <v>1122</v>
      </c>
      <c r="C211" t="s">
        <v>1123</v>
      </c>
      <c r="D211" t="s">
        <v>304</v>
      </c>
      <c r="E211" t="s">
        <v>1124</v>
      </c>
      <c r="F211" t="s">
        <v>1125</v>
      </c>
      <c r="H211" t="s">
        <v>150</v>
      </c>
      <c r="I211" t="s">
        <v>1126</v>
      </c>
      <c r="J211" t="s">
        <v>1127</v>
      </c>
      <c r="K211" t="s">
        <v>153</v>
      </c>
      <c r="L211" t="s">
        <v>85</v>
      </c>
      <c r="M211" t="s">
        <v>162</v>
      </c>
      <c r="N211" s="8"/>
      <c r="O211" s="8"/>
      <c r="P211" s="8"/>
      <c r="Q211" s="8"/>
      <c r="R211" s="8"/>
      <c r="S211" s="8"/>
      <c r="T211" s="8"/>
    </row>
    <row r="212" spans="1:20" x14ac:dyDescent="0.25">
      <c r="A212" s="7">
        <v>440</v>
      </c>
      <c r="B212" s="7" t="s">
        <v>1128</v>
      </c>
      <c r="C212" s="7" t="s">
        <v>1123</v>
      </c>
      <c r="D212" s="7" t="s">
        <v>304</v>
      </c>
      <c r="E212" s="7" t="s">
        <v>1124</v>
      </c>
      <c r="F212" s="7" t="s">
        <v>1129</v>
      </c>
      <c r="G212" s="7" t="s">
        <v>183</v>
      </c>
      <c r="H212" s="7" t="s">
        <v>150</v>
      </c>
      <c r="I212" s="7" t="s">
        <v>1126</v>
      </c>
      <c r="J212" s="7" t="s">
        <v>1130</v>
      </c>
      <c r="K212" s="7" t="s">
        <v>153</v>
      </c>
      <c r="L212" s="7" t="s">
        <v>85</v>
      </c>
      <c r="M212" s="7" t="s">
        <v>162</v>
      </c>
      <c r="N212" s="8"/>
      <c r="O212" s="8"/>
      <c r="P212" s="8"/>
      <c r="Q212" s="8"/>
      <c r="R212" s="8"/>
      <c r="S212" s="8"/>
      <c r="T212" s="8"/>
    </row>
    <row r="213" spans="1:20" x14ac:dyDescent="0.25">
      <c r="A213">
        <v>647</v>
      </c>
      <c r="B213" t="s">
        <v>1131</v>
      </c>
      <c r="C213" t="s">
        <v>1123</v>
      </c>
      <c r="D213" t="s">
        <v>304</v>
      </c>
      <c r="E213" t="s">
        <v>1124</v>
      </c>
      <c r="F213" t="s">
        <v>1132</v>
      </c>
      <c r="G213" t="s">
        <v>1133</v>
      </c>
      <c r="H213" t="s">
        <v>150</v>
      </c>
      <c r="I213" t="s">
        <v>1134</v>
      </c>
      <c r="J213" t="s">
        <v>1130</v>
      </c>
      <c r="K213" t="s">
        <v>153</v>
      </c>
      <c r="L213" t="s">
        <v>154</v>
      </c>
      <c r="M213" t="s">
        <v>162</v>
      </c>
      <c r="N213" s="8"/>
      <c r="O213" s="8"/>
      <c r="P213" s="8"/>
      <c r="Q213" s="8"/>
      <c r="R213" s="8"/>
      <c r="S213" s="8"/>
      <c r="T213" s="8"/>
    </row>
    <row r="214" spans="1:20" x14ac:dyDescent="0.25">
      <c r="A214" s="7">
        <v>579</v>
      </c>
      <c r="B214" s="7" t="s">
        <v>1135</v>
      </c>
      <c r="C214" s="7" t="s">
        <v>145</v>
      </c>
      <c r="D214" s="7" t="s">
        <v>1136</v>
      </c>
      <c r="E214" s="7" t="s">
        <v>1137</v>
      </c>
      <c r="F214" s="7" t="s">
        <v>1138</v>
      </c>
      <c r="G214" s="7" t="s">
        <v>198</v>
      </c>
      <c r="H214" s="7" t="s">
        <v>150</v>
      </c>
      <c r="I214" s="7" t="s">
        <v>1139</v>
      </c>
      <c r="J214" s="7" t="s">
        <v>1140</v>
      </c>
      <c r="K214" s="7" t="s">
        <v>153</v>
      </c>
      <c r="L214" s="7" t="s">
        <v>85</v>
      </c>
      <c r="M214" s="7" t="s">
        <v>145</v>
      </c>
      <c r="N214" s="8"/>
      <c r="O214" s="8"/>
      <c r="P214" s="8"/>
      <c r="Q214" s="8"/>
      <c r="R214" s="8"/>
      <c r="S214" s="8"/>
      <c r="T214" s="8"/>
    </row>
    <row r="215" spans="1:20" x14ac:dyDescent="0.25">
      <c r="A215">
        <v>788</v>
      </c>
      <c r="B215" t="s">
        <v>1141</v>
      </c>
      <c r="C215" t="s">
        <v>145</v>
      </c>
      <c r="D215" t="s">
        <v>145</v>
      </c>
      <c r="E215" t="s">
        <v>1142</v>
      </c>
      <c r="F215" t="s">
        <v>1143</v>
      </c>
      <c r="G215" t="s">
        <v>1144</v>
      </c>
      <c r="H215" t="s">
        <v>150</v>
      </c>
      <c r="I215" t="s">
        <v>1145</v>
      </c>
      <c r="J215" t="s">
        <v>1146</v>
      </c>
      <c r="K215" t="s">
        <v>153</v>
      </c>
      <c r="L215" t="s">
        <v>154</v>
      </c>
      <c r="M215" t="s">
        <v>162</v>
      </c>
      <c r="N215" s="8"/>
      <c r="O215" s="8"/>
      <c r="P215" s="8"/>
      <c r="Q215" s="8"/>
      <c r="R215" s="8"/>
      <c r="S215" s="8"/>
      <c r="T215" s="8"/>
    </row>
    <row r="216" spans="1:20" x14ac:dyDescent="0.25">
      <c r="A216" s="7">
        <v>681</v>
      </c>
      <c r="B216" s="7" t="s">
        <v>1147</v>
      </c>
      <c r="C216" s="7" t="s">
        <v>145</v>
      </c>
      <c r="D216" s="7" t="s">
        <v>1148</v>
      </c>
      <c r="E216" s="7" t="s">
        <v>1149</v>
      </c>
      <c r="F216" s="7" t="s">
        <v>1150</v>
      </c>
      <c r="G216" s="7" t="s">
        <v>183</v>
      </c>
      <c r="H216" s="7" t="s">
        <v>150</v>
      </c>
      <c r="I216" s="7" t="s">
        <v>1151</v>
      </c>
      <c r="J216" s="7" t="s">
        <v>1152</v>
      </c>
      <c r="K216" s="7" t="s">
        <v>153</v>
      </c>
      <c r="L216" s="7" t="s">
        <v>154</v>
      </c>
      <c r="M216" s="7" t="s">
        <v>162</v>
      </c>
      <c r="N216" s="8"/>
      <c r="O216" s="8"/>
      <c r="P216" s="8"/>
      <c r="Q216" s="8"/>
      <c r="R216" s="8"/>
      <c r="S216" s="8"/>
      <c r="T216" s="8"/>
    </row>
    <row r="217" spans="1:20" x14ac:dyDescent="0.25">
      <c r="A217">
        <v>786</v>
      </c>
      <c r="B217" t="s">
        <v>1153</v>
      </c>
      <c r="C217" t="s">
        <v>145</v>
      </c>
      <c r="D217" t="s">
        <v>145</v>
      </c>
      <c r="E217" t="s">
        <v>1154</v>
      </c>
      <c r="F217" t="s">
        <v>1155</v>
      </c>
      <c r="G217" t="s">
        <v>183</v>
      </c>
      <c r="H217" t="s">
        <v>150</v>
      </c>
      <c r="I217" t="s">
        <v>1156</v>
      </c>
      <c r="J217" t="s">
        <v>1157</v>
      </c>
      <c r="K217" t="s">
        <v>153</v>
      </c>
      <c r="L217" t="s">
        <v>154</v>
      </c>
      <c r="M217" t="s">
        <v>162</v>
      </c>
      <c r="N217" s="8"/>
      <c r="O217" s="8"/>
      <c r="P217" s="8"/>
      <c r="Q217" s="8"/>
      <c r="R217" s="8"/>
      <c r="S217" s="8"/>
      <c r="T217" s="8"/>
    </row>
    <row r="218" spans="1:20" x14ac:dyDescent="0.25">
      <c r="A218" s="7">
        <v>692</v>
      </c>
      <c r="B218" s="7" t="s">
        <v>1158</v>
      </c>
      <c r="C218" s="7" t="s">
        <v>145</v>
      </c>
      <c r="D218" s="7" t="s">
        <v>417</v>
      </c>
      <c r="E218" s="7" t="s">
        <v>1159</v>
      </c>
      <c r="F218" s="7" t="s">
        <v>1160</v>
      </c>
      <c r="G218" s="7" t="s">
        <v>171</v>
      </c>
      <c r="H218" s="7" t="s">
        <v>150</v>
      </c>
      <c r="I218" s="7" t="s">
        <v>1161</v>
      </c>
      <c r="J218" s="7" t="s">
        <v>1162</v>
      </c>
      <c r="K218" s="7" t="s">
        <v>153</v>
      </c>
      <c r="L218" s="7" t="s">
        <v>154</v>
      </c>
      <c r="M218" s="7" t="s">
        <v>162</v>
      </c>
      <c r="N218" s="8"/>
      <c r="O218" s="8"/>
      <c r="P218" s="8"/>
      <c r="Q218" s="8"/>
      <c r="R218" s="8"/>
      <c r="S218" s="8"/>
      <c r="T218" s="8"/>
    </row>
    <row r="219" spans="1:20" x14ac:dyDescent="0.25">
      <c r="A219">
        <v>750</v>
      </c>
      <c r="B219" t="s">
        <v>1163</v>
      </c>
      <c r="C219" t="s">
        <v>145</v>
      </c>
      <c r="D219" t="s">
        <v>145</v>
      </c>
      <c r="E219" t="s">
        <v>1164</v>
      </c>
      <c r="F219" t="s">
        <v>1165</v>
      </c>
      <c r="G219" t="s">
        <v>1166</v>
      </c>
      <c r="H219" t="s">
        <v>150</v>
      </c>
      <c r="I219" t="s">
        <v>1167</v>
      </c>
      <c r="J219" t="s">
        <v>1168</v>
      </c>
      <c r="K219" t="s">
        <v>153</v>
      </c>
      <c r="L219" t="s">
        <v>85</v>
      </c>
      <c r="M219" t="s">
        <v>162</v>
      </c>
      <c r="N219" s="8"/>
      <c r="O219" s="8"/>
      <c r="P219" s="8"/>
      <c r="Q219" s="8"/>
      <c r="R219" s="8"/>
      <c r="S219" s="8"/>
      <c r="T219" s="8"/>
    </row>
    <row r="220" spans="1:20" x14ac:dyDescent="0.25">
      <c r="A220" s="7">
        <v>715</v>
      </c>
      <c r="B220" s="7" t="s">
        <v>1169</v>
      </c>
      <c r="C220" s="7" t="s">
        <v>145</v>
      </c>
      <c r="D220" s="7" t="s">
        <v>145</v>
      </c>
      <c r="E220" s="7" t="s">
        <v>1170</v>
      </c>
      <c r="F220" s="7" t="s">
        <v>1171</v>
      </c>
      <c r="G220" s="7" t="s">
        <v>1166</v>
      </c>
      <c r="H220" s="7" t="s">
        <v>150</v>
      </c>
      <c r="I220" s="7" t="s">
        <v>1167</v>
      </c>
      <c r="J220" s="7" t="s">
        <v>1172</v>
      </c>
      <c r="K220" s="7" t="s">
        <v>153</v>
      </c>
      <c r="L220" s="7" t="s">
        <v>154</v>
      </c>
      <c r="M220" s="7" t="s">
        <v>162</v>
      </c>
      <c r="N220" s="8"/>
      <c r="O220" s="8"/>
      <c r="P220" s="8"/>
      <c r="Q220" s="8"/>
      <c r="R220" s="8"/>
      <c r="S220" s="8"/>
      <c r="T220" s="8"/>
    </row>
    <row r="221" spans="1:20" x14ac:dyDescent="0.25">
      <c r="A221">
        <v>854</v>
      </c>
      <c r="B221" t="s">
        <v>1173</v>
      </c>
      <c r="C221" t="s">
        <v>145</v>
      </c>
      <c r="D221" t="s">
        <v>145</v>
      </c>
      <c r="E221" t="s">
        <v>1174</v>
      </c>
      <c r="F221" t="s">
        <v>1175</v>
      </c>
      <c r="G221" t="s">
        <v>1176</v>
      </c>
      <c r="H221" t="s">
        <v>150</v>
      </c>
      <c r="I221" t="s">
        <v>1177</v>
      </c>
      <c r="J221" t="s">
        <v>1178</v>
      </c>
      <c r="K221" t="s">
        <v>153</v>
      </c>
      <c r="L221" t="s">
        <v>154</v>
      </c>
      <c r="M221" t="s">
        <v>162</v>
      </c>
      <c r="N221" s="8"/>
      <c r="O221" s="8"/>
      <c r="P221" s="8"/>
      <c r="Q221" s="8"/>
      <c r="R221" s="8"/>
      <c r="S221" s="8"/>
      <c r="T221" s="8"/>
    </row>
    <row r="222" spans="1:20" x14ac:dyDescent="0.25">
      <c r="A222" s="7">
        <v>633</v>
      </c>
      <c r="B222" s="7" t="s">
        <v>1179</v>
      </c>
      <c r="C222" s="7" t="s">
        <v>1180</v>
      </c>
      <c r="D222" s="7" t="s">
        <v>146</v>
      </c>
      <c r="E222" s="7" t="s">
        <v>1181</v>
      </c>
      <c r="F222" s="7" t="s">
        <v>1182</v>
      </c>
      <c r="G222" s="7"/>
      <c r="H222" s="7" t="s">
        <v>150</v>
      </c>
      <c r="I222" s="7" t="s">
        <v>1183</v>
      </c>
      <c r="J222" s="7" t="s">
        <v>1184</v>
      </c>
      <c r="K222" s="7" t="s">
        <v>153</v>
      </c>
      <c r="L222" s="7" t="s">
        <v>154</v>
      </c>
      <c r="M222" s="7" t="s">
        <v>162</v>
      </c>
      <c r="N222" s="8"/>
      <c r="O222" s="8"/>
      <c r="P222" s="8"/>
      <c r="Q222" s="8"/>
      <c r="R222" s="8"/>
      <c r="S222" s="8"/>
      <c r="T222" s="8"/>
    </row>
    <row r="223" spans="1:20" x14ac:dyDescent="0.25">
      <c r="A223">
        <v>547</v>
      </c>
      <c r="B223" t="s">
        <v>1179</v>
      </c>
      <c r="C223" t="s">
        <v>1180</v>
      </c>
      <c r="D223" t="s">
        <v>146</v>
      </c>
      <c r="E223" t="s">
        <v>1181</v>
      </c>
      <c r="F223" t="s">
        <v>1185</v>
      </c>
      <c r="G223" t="s">
        <v>159</v>
      </c>
      <c r="H223" t="s">
        <v>150</v>
      </c>
      <c r="I223" t="s">
        <v>1186</v>
      </c>
      <c r="J223" t="s">
        <v>1187</v>
      </c>
      <c r="K223" t="s">
        <v>153</v>
      </c>
      <c r="L223" t="s">
        <v>154</v>
      </c>
      <c r="M223" t="s">
        <v>145</v>
      </c>
      <c r="N223" s="8"/>
      <c r="O223" s="8"/>
      <c r="P223" s="8"/>
      <c r="Q223" s="8"/>
      <c r="R223" s="8"/>
      <c r="S223" s="8"/>
      <c r="T223" s="8"/>
    </row>
    <row r="224" spans="1:20" x14ac:dyDescent="0.25">
      <c r="A224" s="7">
        <v>386</v>
      </c>
      <c r="B224" s="7" t="s">
        <v>1188</v>
      </c>
      <c r="C224" s="7" t="s">
        <v>145</v>
      </c>
      <c r="D224" s="7" t="s">
        <v>1189</v>
      </c>
      <c r="E224" s="7" t="s">
        <v>1190</v>
      </c>
      <c r="F224" s="7" t="s">
        <v>1191</v>
      </c>
      <c r="G224" s="7" t="s">
        <v>198</v>
      </c>
      <c r="H224" s="7" t="s">
        <v>150</v>
      </c>
      <c r="I224" s="7" t="s">
        <v>1192</v>
      </c>
      <c r="J224" s="7"/>
      <c r="K224" s="7" t="s">
        <v>153</v>
      </c>
      <c r="L224" s="7" t="s">
        <v>85</v>
      </c>
      <c r="M224" s="7" t="s">
        <v>145</v>
      </c>
      <c r="N224" s="8"/>
      <c r="O224" s="8"/>
      <c r="P224" s="8"/>
      <c r="Q224" s="8"/>
      <c r="R224" s="8"/>
      <c r="S224" s="8"/>
      <c r="T224" s="8"/>
    </row>
    <row r="225" spans="1:20" x14ac:dyDescent="0.25">
      <c r="A225">
        <v>663</v>
      </c>
      <c r="B225" t="s">
        <v>1193</v>
      </c>
      <c r="C225" t="s">
        <v>145</v>
      </c>
      <c r="D225" t="s">
        <v>417</v>
      </c>
      <c r="E225" t="s">
        <v>1194</v>
      </c>
      <c r="F225" t="s">
        <v>1195</v>
      </c>
      <c r="G225" t="s">
        <v>1196</v>
      </c>
      <c r="H225" t="s">
        <v>150</v>
      </c>
      <c r="I225" t="s">
        <v>1197</v>
      </c>
      <c r="J225" t="s">
        <v>1198</v>
      </c>
      <c r="K225" t="s">
        <v>153</v>
      </c>
      <c r="L225" t="s">
        <v>154</v>
      </c>
      <c r="M225" t="s">
        <v>145</v>
      </c>
      <c r="N225" s="8"/>
      <c r="O225" s="8"/>
      <c r="P225" s="8"/>
      <c r="Q225" s="8"/>
      <c r="R225" s="8"/>
      <c r="S225" s="8"/>
      <c r="T225" s="8"/>
    </row>
    <row r="226" spans="1:20" x14ac:dyDescent="0.25">
      <c r="A226" s="7">
        <v>605</v>
      </c>
      <c r="B226" s="7" t="s">
        <v>1199</v>
      </c>
      <c r="C226" s="7" t="s">
        <v>145</v>
      </c>
      <c r="D226" s="7" t="s">
        <v>417</v>
      </c>
      <c r="E226" s="7" t="s">
        <v>1200</v>
      </c>
      <c r="F226" s="7" t="s">
        <v>1201</v>
      </c>
      <c r="G226" s="7" t="s">
        <v>1202</v>
      </c>
      <c r="H226" s="7" t="s">
        <v>150</v>
      </c>
      <c r="I226" s="7" t="s">
        <v>1203</v>
      </c>
      <c r="J226" s="7" t="s">
        <v>1204</v>
      </c>
      <c r="K226" s="7" t="s">
        <v>153</v>
      </c>
      <c r="L226" s="7" t="s">
        <v>154</v>
      </c>
      <c r="M226" s="7" t="s">
        <v>162</v>
      </c>
      <c r="N226" s="8"/>
      <c r="O226" s="8"/>
      <c r="P226" s="8"/>
      <c r="Q226" s="8"/>
      <c r="R226" s="8"/>
      <c r="S226" s="8"/>
      <c r="T226" s="8"/>
    </row>
    <row r="227" spans="1:20" x14ac:dyDescent="0.25">
      <c r="A227">
        <v>384</v>
      </c>
      <c r="B227" t="s">
        <v>1205</v>
      </c>
      <c r="C227" t="s">
        <v>145</v>
      </c>
      <c r="D227" t="s">
        <v>346</v>
      </c>
      <c r="E227" t="s">
        <v>1206</v>
      </c>
      <c r="F227" t="s">
        <v>1207</v>
      </c>
      <c r="G227" t="s">
        <v>1208</v>
      </c>
      <c r="H227" t="s">
        <v>150</v>
      </c>
      <c r="I227" t="s">
        <v>1209</v>
      </c>
      <c r="J227" t="s">
        <v>1210</v>
      </c>
      <c r="K227" t="s">
        <v>153</v>
      </c>
      <c r="L227" t="s">
        <v>85</v>
      </c>
      <c r="M227" t="s">
        <v>162</v>
      </c>
      <c r="N227" s="8"/>
      <c r="O227" s="8"/>
      <c r="P227" s="8"/>
      <c r="Q227" s="8"/>
      <c r="R227" s="8"/>
      <c r="S227" s="8"/>
      <c r="T227" s="8"/>
    </row>
    <row r="228" spans="1:20" x14ac:dyDescent="0.25">
      <c r="A228" s="7">
        <v>719</v>
      </c>
      <c r="B228" s="7" t="s">
        <v>1211</v>
      </c>
      <c r="C228" s="7" t="s">
        <v>1212</v>
      </c>
      <c r="D228" s="7" t="s">
        <v>1189</v>
      </c>
      <c r="E228" s="7" t="s">
        <v>1213</v>
      </c>
      <c r="F228" s="7" t="s">
        <v>1214</v>
      </c>
      <c r="G228" s="7" t="s">
        <v>1215</v>
      </c>
      <c r="H228" s="7" t="s">
        <v>150</v>
      </c>
      <c r="I228" s="7" t="s">
        <v>1216</v>
      </c>
      <c r="J228" s="7" t="s">
        <v>1217</v>
      </c>
      <c r="K228" s="7" t="s">
        <v>153</v>
      </c>
      <c r="L228" s="7" t="s">
        <v>154</v>
      </c>
      <c r="M228" s="7" t="s">
        <v>145</v>
      </c>
      <c r="N228" s="8"/>
      <c r="O228" s="8"/>
      <c r="P228" s="8"/>
      <c r="Q228" s="8"/>
      <c r="R228" s="8"/>
      <c r="S228" s="8"/>
      <c r="T228" s="8"/>
    </row>
    <row r="229" spans="1:20" x14ac:dyDescent="0.25">
      <c r="A229">
        <v>739</v>
      </c>
      <c r="B229" t="s">
        <v>1211</v>
      </c>
      <c r="C229" t="s">
        <v>1212</v>
      </c>
      <c r="D229" t="s">
        <v>145</v>
      </c>
      <c r="E229" t="s">
        <v>1213</v>
      </c>
      <c r="F229" t="s">
        <v>1218</v>
      </c>
      <c r="G229" t="s">
        <v>868</v>
      </c>
      <c r="H229" t="s">
        <v>150</v>
      </c>
      <c r="I229" t="s">
        <v>1216</v>
      </c>
      <c r="J229" t="s">
        <v>1219</v>
      </c>
      <c r="K229" t="s">
        <v>153</v>
      </c>
      <c r="L229" t="s">
        <v>154</v>
      </c>
      <c r="M229" t="s">
        <v>145</v>
      </c>
      <c r="N229" s="8"/>
      <c r="O229" s="8"/>
      <c r="P229" s="8"/>
      <c r="Q229" s="8"/>
      <c r="R229" s="8"/>
      <c r="S229" s="8"/>
      <c r="T229" s="8"/>
    </row>
    <row r="230" spans="1:20" x14ac:dyDescent="0.25">
      <c r="A230" s="7">
        <v>370</v>
      </c>
      <c r="B230" s="7" t="s">
        <v>1220</v>
      </c>
      <c r="C230" s="7" t="s">
        <v>145</v>
      </c>
      <c r="D230" s="7" t="s">
        <v>1059</v>
      </c>
      <c r="E230" s="7" t="s">
        <v>1221</v>
      </c>
      <c r="F230" s="7" t="s">
        <v>1222</v>
      </c>
      <c r="G230" s="7" t="s">
        <v>1144</v>
      </c>
      <c r="H230" s="7" t="s">
        <v>150</v>
      </c>
      <c r="I230" s="7" t="s">
        <v>1223</v>
      </c>
      <c r="J230" s="7" t="s">
        <v>1224</v>
      </c>
      <c r="K230" s="7" t="s">
        <v>153</v>
      </c>
      <c r="L230" s="7" t="s">
        <v>85</v>
      </c>
      <c r="M230" s="7" t="s">
        <v>145</v>
      </c>
      <c r="N230" s="8"/>
      <c r="O230" s="8"/>
      <c r="P230" s="8"/>
      <c r="Q230" s="8"/>
      <c r="R230" s="8"/>
      <c r="S230" s="8"/>
      <c r="T230" s="8"/>
    </row>
    <row r="231" spans="1:20" x14ac:dyDescent="0.25">
      <c r="A231">
        <v>842</v>
      </c>
      <c r="B231" t="s">
        <v>1225</v>
      </c>
      <c r="C231" t="s">
        <v>145</v>
      </c>
      <c r="D231" t="s">
        <v>145</v>
      </c>
      <c r="E231" t="s">
        <v>1226</v>
      </c>
      <c r="F231" t="s">
        <v>1227</v>
      </c>
      <c r="G231" t="s">
        <v>183</v>
      </c>
      <c r="H231" t="s">
        <v>150</v>
      </c>
      <c r="I231" t="s">
        <v>1228</v>
      </c>
      <c r="K231" t="s">
        <v>153</v>
      </c>
      <c r="L231" t="s">
        <v>154</v>
      </c>
      <c r="M231" t="s">
        <v>162</v>
      </c>
      <c r="N231" s="8"/>
      <c r="O231" s="8"/>
      <c r="P231" s="8"/>
      <c r="Q231" s="8"/>
      <c r="R231" s="8"/>
      <c r="S231" s="8"/>
      <c r="T231" s="8"/>
    </row>
    <row r="232" spans="1:20" x14ac:dyDescent="0.25">
      <c r="A232" s="7">
        <v>623</v>
      </c>
      <c r="B232" s="7" t="s">
        <v>1229</v>
      </c>
      <c r="C232" s="7" t="s">
        <v>145</v>
      </c>
      <c r="D232" s="7" t="s">
        <v>1059</v>
      </c>
      <c r="E232" s="7" t="s">
        <v>1230</v>
      </c>
      <c r="F232" s="7" t="s">
        <v>1231</v>
      </c>
      <c r="G232" s="7" t="s">
        <v>413</v>
      </c>
      <c r="H232" s="7" t="s">
        <v>150</v>
      </c>
      <c r="I232" s="7" t="s">
        <v>1232</v>
      </c>
      <c r="J232" s="7" t="s">
        <v>1233</v>
      </c>
      <c r="K232" s="7" t="s">
        <v>153</v>
      </c>
      <c r="L232" s="7" t="s">
        <v>85</v>
      </c>
      <c r="M232" s="7" t="s">
        <v>145</v>
      </c>
      <c r="N232" s="8"/>
      <c r="O232" s="8"/>
      <c r="P232" s="8"/>
      <c r="Q232" s="8"/>
      <c r="R232" s="8"/>
      <c r="S232" s="8"/>
      <c r="T232" s="8"/>
    </row>
    <row r="233" spans="1:20" x14ac:dyDescent="0.25">
      <c r="A233">
        <v>724</v>
      </c>
      <c r="B233" t="s">
        <v>1234</v>
      </c>
      <c r="C233" t="s">
        <v>145</v>
      </c>
      <c r="D233" t="s">
        <v>1059</v>
      </c>
      <c r="E233" t="s">
        <v>1235</v>
      </c>
      <c r="F233" t="s">
        <v>1236</v>
      </c>
      <c r="G233" t="s">
        <v>1237</v>
      </c>
      <c r="H233" t="s">
        <v>150</v>
      </c>
      <c r="I233" t="s">
        <v>1238</v>
      </c>
      <c r="J233" t="s">
        <v>498</v>
      </c>
      <c r="K233" t="s">
        <v>153</v>
      </c>
      <c r="L233" t="s">
        <v>154</v>
      </c>
      <c r="M233" t="s">
        <v>162</v>
      </c>
      <c r="N233" s="8"/>
      <c r="O233" s="8"/>
      <c r="P233" s="8"/>
      <c r="Q233" s="8"/>
      <c r="R233" s="8"/>
      <c r="S233" s="8"/>
      <c r="T233" s="8"/>
    </row>
    <row r="234" spans="1:20" x14ac:dyDescent="0.25">
      <c r="A234" s="7">
        <v>650</v>
      </c>
      <c r="B234" s="7" t="s">
        <v>1239</v>
      </c>
      <c r="C234" s="7" t="s">
        <v>145</v>
      </c>
      <c r="D234" s="7" t="s">
        <v>304</v>
      </c>
      <c r="E234" s="7" t="s">
        <v>1240</v>
      </c>
      <c r="F234" s="7" t="s">
        <v>1241</v>
      </c>
      <c r="G234" s="7" t="s">
        <v>868</v>
      </c>
      <c r="H234" s="7" t="s">
        <v>150</v>
      </c>
      <c r="I234" s="7" t="s">
        <v>1242</v>
      </c>
      <c r="J234" s="7" t="s">
        <v>1243</v>
      </c>
      <c r="K234" s="7" t="s">
        <v>153</v>
      </c>
      <c r="L234" s="7" t="s">
        <v>154</v>
      </c>
      <c r="M234" s="7" t="s">
        <v>145</v>
      </c>
      <c r="N234" s="8"/>
      <c r="O234" s="8"/>
      <c r="P234" s="8"/>
      <c r="Q234" s="8"/>
      <c r="R234" s="8"/>
      <c r="S234" s="8"/>
      <c r="T234" s="8"/>
    </row>
    <row r="235" spans="1:20" x14ac:dyDescent="0.25">
      <c r="A235">
        <v>515</v>
      </c>
      <c r="B235" t="s">
        <v>1244</v>
      </c>
      <c r="C235" t="s">
        <v>145</v>
      </c>
      <c r="D235" t="s">
        <v>146</v>
      </c>
      <c r="E235" t="s">
        <v>1245</v>
      </c>
      <c r="F235" t="s">
        <v>1246</v>
      </c>
      <c r="G235" t="s">
        <v>159</v>
      </c>
      <c r="H235" t="s">
        <v>150</v>
      </c>
      <c r="I235" t="s">
        <v>1247</v>
      </c>
      <c r="J235" t="s">
        <v>1248</v>
      </c>
      <c r="K235" t="s">
        <v>153</v>
      </c>
      <c r="L235" t="s">
        <v>154</v>
      </c>
      <c r="M235" t="s">
        <v>145</v>
      </c>
      <c r="N235" s="8"/>
      <c r="O235" s="8"/>
      <c r="P235" s="8"/>
      <c r="Q235" s="8"/>
      <c r="R235" s="8"/>
      <c r="S235" s="8"/>
      <c r="T235" s="8"/>
    </row>
    <row r="236" spans="1:20" x14ac:dyDescent="0.25">
      <c r="A236" s="7">
        <v>557</v>
      </c>
      <c r="B236" s="7" t="s">
        <v>1249</v>
      </c>
      <c r="C236" s="7" t="s">
        <v>145</v>
      </c>
      <c r="D236" s="7" t="s">
        <v>146</v>
      </c>
      <c r="E236" s="7" t="s">
        <v>1250</v>
      </c>
      <c r="F236" s="7" t="s">
        <v>1251</v>
      </c>
      <c r="G236" s="7" t="s">
        <v>198</v>
      </c>
      <c r="H236" s="7" t="s">
        <v>150</v>
      </c>
      <c r="I236" s="7" t="s">
        <v>1252</v>
      </c>
      <c r="J236" s="7" t="s">
        <v>1253</v>
      </c>
      <c r="K236" s="7" t="s">
        <v>153</v>
      </c>
      <c r="L236" s="7" t="s">
        <v>154</v>
      </c>
      <c r="M236" s="7" t="s">
        <v>145</v>
      </c>
      <c r="N236" s="8"/>
      <c r="O236" s="8"/>
      <c r="P236" s="8"/>
      <c r="Q236" s="8"/>
      <c r="R236" s="8"/>
      <c r="S236" s="8"/>
      <c r="T236" s="8"/>
    </row>
    <row r="237" spans="1:20" x14ac:dyDescent="0.25">
      <c r="A237">
        <v>580</v>
      </c>
      <c r="B237" t="s">
        <v>1254</v>
      </c>
      <c r="C237" t="s">
        <v>145</v>
      </c>
      <c r="D237" t="s">
        <v>146</v>
      </c>
      <c r="E237" t="s">
        <v>1255</v>
      </c>
      <c r="F237" t="s">
        <v>1256</v>
      </c>
      <c r="G237" t="s">
        <v>1257</v>
      </c>
      <c r="H237" t="s">
        <v>150</v>
      </c>
      <c r="I237" t="s">
        <v>1258</v>
      </c>
      <c r="J237" t="s">
        <v>1259</v>
      </c>
      <c r="K237" t="s">
        <v>153</v>
      </c>
      <c r="L237" t="s">
        <v>154</v>
      </c>
      <c r="M237" t="s">
        <v>145</v>
      </c>
      <c r="N237" s="8"/>
      <c r="O237" s="8"/>
      <c r="P237" s="8"/>
      <c r="Q237" s="8"/>
      <c r="R237" s="8"/>
      <c r="S237" s="8"/>
      <c r="T237" s="8"/>
    </row>
    <row r="238" spans="1:20" x14ac:dyDescent="0.25">
      <c r="A238" s="7">
        <v>870</v>
      </c>
      <c r="B238" s="7" t="s">
        <v>1260</v>
      </c>
      <c r="C238" s="7" t="s">
        <v>145</v>
      </c>
      <c r="D238" s="7" t="s">
        <v>146</v>
      </c>
      <c r="E238" s="7" t="s">
        <v>1261</v>
      </c>
      <c r="F238" s="7" t="s">
        <v>1262</v>
      </c>
      <c r="G238" s="7" t="s">
        <v>171</v>
      </c>
      <c r="H238" s="7" t="s">
        <v>150</v>
      </c>
      <c r="I238" s="7" t="s">
        <v>1263</v>
      </c>
      <c r="J238" s="7" t="s">
        <v>1264</v>
      </c>
      <c r="K238" s="7" t="s">
        <v>153</v>
      </c>
      <c r="L238" s="7" t="s">
        <v>85</v>
      </c>
      <c r="M238" s="7" t="s">
        <v>162</v>
      </c>
      <c r="N238" s="8"/>
      <c r="O238" s="8"/>
      <c r="P238" s="8"/>
      <c r="Q238" s="8"/>
      <c r="R238" s="8"/>
      <c r="S238" s="8"/>
      <c r="T238" s="8"/>
    </row>
    <row r="239" spans="1:20" x14ac:dyDescent="0.25">
      <c r="A239">
        <v>868</v>
      </c>
      <c r="B239" t="s">
        <v>1265</v>
      </c>
      <c r="C239" t="s">
        <v>145</v>
      </c>
      <c r="D239" t="s">
        <v>145</v>
      </c>
      <c r="E239" t="s">
        <v>1266</v>
      </c>
      <c r="F239" t="s">
        <v>1267</v>
      </c>
      <c r="G239" t="s">
        <v>1208</v>
      </c>
      <c r="H239" t="s">
        <v>150</v>
      </c>
      <c r="I239" t="s">
        <v>1268</v>
      </c>
      <c r="J239" t="s">
        <v>1269</v>
      </c>
      <c r="K239" t="s">
        <v>153</v>
      </c>
      <c r="L239" t="s">
        <v>154</v>
      </c>
      <c r="M239" t="s">
        <v>162</v>
      </c>
      <c r="N239" s="8"/>
      <c r="O239" s="8"/>
      <c r="P239" s="8"/>
      <c r="Q239" s="8"/>
      <c r="R239" s="8"/>
      <c r="S239" s="8"/>
      <c r="T239" s="8"/>
    </row>
    <row r="240" spans="1:20" x14ac:dyDescent="0.25">
      <c r="A240" s="7">
        <v>690</v>
      </c>
      <c r="B240" s="7" t="s">
        <v>1270</v>
      </c>
      <c r="C240" s="7" t="s">
        <v>145</v>
      </c>
      <c r="D240" s="7" t="s">
        <v>417</v>
      </c>
      <c r="E240" s="7" t="s">
        <v>1271</v>
      </c>
      <c r="F240" s="7" t="s">
        <v>1272</v>
      </c>
      <c r="G240" s="7" t="s">
        <v>1273</v>
      </c>
      <c r="H240" s="7" t="s">
        <v>150</v>
      </c>
      <c r="I240" s="7" t="s">
        <v>1274</v>
      </c>
      <c r="J240" s="7" t="s">
        <v>1275</v>
      </c>
      <c r="K240" s="7" t="s">
        <v>153</v>
      </c>
      <c r="L240" s="7" t="s">
        <v>154</v>
      </c>
      <c r="M240" s="7" t="s">
        <v>145</v>
      </c>
      <c r="N240" s="8"/>
      <c r="O240" s="8"/>
      <c r="P240" s="8"/>
      <c r="Q240" s="8"/>
      <c r="R240" s="8"/>
      <c r="S240" s="8"/>
      <c r="T240" s="8"/>
    </row>
    <row r="241" spans="1:20" x14ac:dyDescent="0.25">
      <c r="A241">
        <v>693</v>
      </c>
      <c r="B241" t="s">
        <v>1276</v>
      </c>
      <c r="C241" t="s">
        <v>1277</v>
      </c>
      <c r="D241" t="s">
        <v>417</v>
      </c>
      <c r="E241" t="s">
        <v>1278</v>
      </c>
      <c r="F241" t="s">
        <v>1279</v>
      </c>
      <c r="G241" t="s">
        <v>183</v>
      </c>
      <c r="H241" t="s">
        <v>150</v>
      </c>
      <c r="I241" t="s">
        <v>1274</v>
      </c>
      <c r="J241" t="s">
        <v>1275</v>
      </c>
      <c r="K241" t="s">
        <v>153</v>
      </c>
      <c r="L241" t="s">
        <v>154</v>
      </c>
      <c r="M241" t="s">
        <v>145</v>
      </c>
      <c r="N241" s="8"/>
      <c r="O241" s="8"/>
      <c r="P241" s="8"/>
      <c r="Q241" s="8"/>
      <c r="R241" s="8"/>
      <c r="S241" s="8"/>
      <c r="T241" s="8"/>
    </row>
    <row r="242" spans="1:20" x14ac:dyDescent="0.25">
      <c r="A242" s="7">
        <v>833</v>
      </c>
      <c r="B242" s="7" t="s">
        <v>1280</v>
      </c>
      <c r="C242" s="7" t="s">
        <v>145</v>
      </c>
      <c r="D242" s="7" t="s">
        <v>145</v>
      </c>
      <c r="E242" s="7" t="s">
        <v>1281</v>
      </c>
      <c r="F242" s="7" t="s">
        <v>1282</v>
      </c>
      <c r="G242" s="7" t="s">
        <v>995</v>
      </c>
      <c r="H242" s="7" t="s">
        <v>150</v>
      </c>
      <c r="I242" s="7" t="s">
        <v>1283</v>
      </c>
      <c r="J242" s="7" t="s">
        <v>1284</v>
      </c>
      <c r="K242" s="7" t="s">
        <v>153</v>
      </c>
      <c r="L242" s="7" t="s">
        <v>154</v>
      </c>
      <c r="M242" s="7" t="s">
        <v>162</v>
      </c>
      <c r="N242" s="8"/>
      <c r="O242" s="8"/>
      <c r="P242" s="8"/>
      <c r="Q242" s="8"/>
      <c r="R242" s="8"/>
      <c r="S242" s="8"/>
      <c r="T242" s="8"/>
    </row>
    <row r="243" spans="1:20" x14ac:dyDescent="0.25">
      <c r="A243">
        <v>914</v>
      </c>
      <c r="B243" t="s">
        <v>1285</v>
      </c>
      <c r="C243" t="s">
        <v>1277</v>
      </c>
      <c r="D243" t="s">
        <v>145</v>
      </c>
      <c r="E243" t="s">
        <v>1278</v>
      </c>
      <c r="F243" t="s">
        <v>1286</v>
      </c>
      <c r="G243" t="s">
        <v>183</v>
      </c>
      <c r="H243" t="s">
        <v>150</v>
      </c>
      <c r="I243" t="s">
        <v>1287</v>
      </c>
      <c r="J243" t="s">
        <v>1288</v>
      </c>
      <c r="K243" t="s">
        <v>153</v>
      </c>
      <c r="L243" t="s">
        <v>85</v>
      </c>
      <c r="M243" t="s">
        <v>162</v>
      </c>
      <c r="N243" s="8"/>
      <c r="O243" s="8"/>
      <c r="P243" s="8"/>
      <c r="Q243" s="8"/>
      <c r="R243" s="8"/>
      <c r="S243" s="8"/>
      <c r="T243" s="8"/>
    </row>
    <row r="244" spans="1:20" x14ac:dyDescent="0.25">
      <c r="A244" s="7">
        <v>491</v>
      </c>
      <c r="B244" s="7" t="s">
        <v>1289</v>
      </c>
      <c r="C244" s="7" t="s">
        <v>145</v>
      </c>
      <c r="D244" s="7" t="s">
        <v>311</v>
      </c>
      <c r="E244" s="7" t="s">
        <v>1290</v>
      </c>
      <c r="F244" s="7" t="s">
        <v>1291</v>
      </c>
      <c r="G244" s="7" t="s">
        <v>1292</v>
      </c>
      <c r="H244" s="7" t="s">
        <v>150</v>
      </c>
      <c r="I244" s="7" t="s">
        <v>1293</v>
      </c>
      <c r="J244" s="7" t="s">
        <v>1294</v>
      </c>
      <c r="K244" s="7" t="s">
        <v>153</v>
      </c>
      <c r="L244" s="7" t="s">
        <v>154</v>
      </c>
      <c r="M244" s="7" t="s">
        <v>145</v>
      </c>
      <c r="N244" s="8"/>
      <c r="O244" s="8"/>
      <c r="P244" s="8"/>
      <c r="Q244" s="8"/>
      <c r="R244" s="8"/>
      <c r="S244" s="8"/>
      <c r="T244" s="8"/>
    </row>
    <row r="245" spans="1:20" x14ac:dyDescent="0.25">
      <c r="A245">
        <v>582</v>
      </c>
      <c r="B245" t="s">
        <v>1295</v>
      </c>
      <c r="C245" t="s">
        <v>145</v>
      </c>
      <c r="D245" t="s">
        <v>146</v>
      </c>
      <c r="E245" t="s">
        <v>1296</v>
      </c>
      <c r="F245" t="s">
        <v>1297</v>
      </c>
      <c r="G245" t="s">
        <v>1298</v>
      </c>
      <c r="H245" t="s">
        <v>215</v>
      </c>
      <c r="I245" t="s">
        <v>1299</v>
      </c>
      <c r="J245" t="s">
        <v>1300</v>
      </c>
      <c r="K245" t="s">
        <v>153</v>
      </c>
      <c r="L245" t="s">
        <v>154</v>
      </c>
      <c r="M245" t="s">
        <v>145</v>
      </c>
      <c r="N245" s="8"/>
      <c r="O245" s="8"/>
      <c r="P245" s="8"/>
      <c r="Q245" s="8"/>
      <c r="R245" s="8"/>
      <c r="S245" s="8"/>
      <c r="T245" s="8"/>
    </row>
    <row r="246" spans="1:20" x14ac:dyDescent="0.25">
      <c r="A246" s="7">
        <v>379</v>
      </c>
      <c r="B246" s="7" t="s">
        <v>1301</v>
      </c>
      <c r="C246" s="7" t="s">
        <v>145</v>
      </c>
      <c r="D246" s="7" t="s">
        <v>287</v>
      </c>
      <c r="E246" s="7" t="s">
        <v>1302</v>
      </c>
      <c r="F246" s="7" t="s">
        <v>1303</v>
      </c>
      <c r="G246" s="7" t="s">
        <v>183</v>
      </c>
      <c r="H246" s="7" t="s">
        <v>150</v>
      </c>
      <c r="I246" s="7" t="s">
        <v>1304</v>
      </c>
      <c r="J246" s="7" t="s">
        <v>1305</v>
      </c>
      <c r="K246" s="7" t="s">
        <v>153</v>
      </c>
      <c r="L246" s="7" t="s">
        <v>154</v>
      </c>
      <c r="M246" s="7" t="s">
        <v>145</v>
      </c>
      <c r="N246" s="8"/>
      <c r="O246" s="8"/>
      <c r="P246" s="8"/>
      <c r="Q246" s="8"/>
      <c r="R246" s="8"/>
      <c r="S246" s="8"/>
      <c r="T246" s="8"/>
    </row>
    <row r="247" spans="1:20" x14ac:dyDescent="0.25">
      <c r="A247">
        <v>678</v>
      </c>
      <c r="B247" t="s">
        <v>1306</v>
      </c>
      <c r="C247" t="s">
        <v>585</v>
      </c>
      <c r="D247" t="s">
        <v>304</v>
      </c>
      <c r="E247" t="s">
        <v>1307</v>
      </c>
      <c r="F247" t="s">
        <v>1308</v>
      </c>
      <c r="G247" t="s">
        <v>778</v>
      </c>
      <c r="H247" t="s">
        <v>150</v>
      </c>
      <c r="I247" t="s">
        <v>588</v>
      </c>
      <c r="J247" t="s">
        <v>589</v>
      </c>
      <c r="K247" t="s">
        <v>153</v>
      </c>
      <c r="L247" t="s">
        <v>85</v>
      </c>
      <c r="M247" t="s">
        <v>162</v>
      </c>
      <c r="N247" s="8"/>
      <c r="O247" s="8"/>
      <c r="P247" s="8"/>
      <c r="Q247" s="8"/>
      <c r="R247" s="8"/>
      <c r="S247" s="8"/>
      <c r="T247" s="8"/>
    </row>
    <row r="248" spans="1:20" x14ac:dyDescent="0.25">
      <c r="A248" s="7">
        <v>445</v>
      </c>
      <c r="B248" s="7" t="s">
        <v>1309</v>
      </c>
      <c r="C248" s="7" t="s">
        <v>585</v>
      </c>
      <c r="D248" s="7" t="s">
        <v>304</v>
      </c>
      <c r="E248" s="7" t="s">
        <v>1307</v>
      </c>
      <c r="F248" s="7" t="s">
        <v>1310</v>
      </c>
      <c r="G248" s="7" t="s">
        <v>183</v>
      </c>
      <c r="H248" s="7" t="s">
        <v>150</v>
      </c>
      <c r="I248" s="7" t="s">
        <v>588</v>
      </c>
      <c r="J248" s="7" t="s">
        <v>1311</v>
      </c>
      <c r="K248" s="7" t="s">
        <v>153</v>
      </c>
      <c r="L248" s="7" t="s">
        <v>85</v>
      </c>
      <c r="M248" s="7" t="s">
        <v>162</v>
      </c>
      <c r="N248" s="8"/>
      <c r="O248" s="8"/>
      <c r="P248" s="8"/>
      <c r="Q248" s="8"/>
      <c r="R248" s="8"/>
      <c r="S248" s="8"/>
      <c r="T248" s="8"/>
    </row>
    <row r="249" spans="1:20" x14ac:dyDescent="0.25">
      <c r="A249">
        <v>444</v>
      </c>
      <c r="B249" t="s">
        <v>1312</v>
      </c>
      <c r="C249" t="s">
        <v>585</v>
      </c>
      <c r="D249" t="s">
        <v>304</v>
      </c>
      <c r="E249" t="s">
        <v>1307</v>
      </c>
      <c r="F249" t="s">
        <v>1313</v>
      </c>
      <c r="G249" t="s">
        <v>1314</v>
      </c>
      <c r="H249" t="s">
        <v>150</v>
      </c>
      <c r="I249" t="s">
        <v>1315</v>
      </c>
      <c r="J249" t="s">
        <v>1311</v>
      </c>
      <c r="K249" t="s">
        <v>153</v>
      </c>
      <c r="L249" t="s">
        <v>85</v>
      </c>
      <c r="M249" t="s">
        <v>162</v>
      </c>
      <c r="N249" s="8"/>
      <c r="O249" s="8"/>
      <c r="P249" s="8"/>
      <c r="Q249" s="8"/>
      <c r="R249" s="8"/>
      <c r="S249" s="8"/>
      <c r="T249" s="8"/>
    </row>
    <row r="250" spans="1:20" x14ac:dyDescent="0.25">
      <c r="A250" s="7">
        <v>447</v>
      </c>
      <c r="B250" s="7" t="s">
        <v>1316</v>
      </c>
      <c r="C250" s="7" t="s">
        <v>585</v>
      </c>
      <c r="D250" s="7" t="s">
        <v>304</v>
      </c>
      <c r="E250" s="7" t="s">
        <v>1307</v>
      </c>
      <c r="F250" s="7" t="s">
        <v>1317</v>
      </c>
      <c r="G250" s="7" t="s">
        <v>159</v>
      </c>
      <c r="H250" s="7" t="s">
        <v>150</v>
      </c>
      <c r="I250" s="7" t="s">
        <v>1318</v>
      </c>
      <c r="J250" s="7" t="s">
        <v>1319</v>
      </c>
      <c r="K250" s="7" t="s">
        <v>153</v>
      </c>
      <c r="L250" s="7" t="s">
        <v>85</v>
      </c>
      <c r="M250" s="7" t="s">
        <v>162</v>
      </c>
      <c r="N250" s="8"/>
      <c r="O250" s="8"/>
      <c r="P250" s="8"/>
      <c r="Q250" s="8"/>
      <c r="R250" s="8"/>
      <c r="S250" s="8"/>
      <c r="T250" s="8"/>
    </row>
    <row r="251" spans="1:20" x14ac:dyDescent="0.25">
      <c r="A251">
        <v>446</v>
      </c>
      <c r="B251" t="s">
        <v>1320</v>
      </c>
      <c r="C251" t="s">
        <v>585</v>
      </c>
      <c r="D251" t="s">
        <v>304</v>
      </c>
      <c r="E251" t="s">
        <v>1307</v>
      </c>
      <c r="F251" t="s">
        <v>1321</v>
      </c>
      <c r="G251" t="s">
        <v>159</v>
      </c>
      <c r="H251" t="s">
        <v>150</v>
      </c>
      <c r="I251" t="s">
        <v>1322</v>
      </c>
      <c r="J251" t="s">
        <v>1323</v>
      </c>
      <c r="K251" t="s">
        <v>153</v>
      </c>
      <c r="L251" t="s">
        <v>85</v>
      </c>
      <c r="M251" t="s">
        <v>162</v>
      </c>
      <c r="N251" s="8"/>
      <c r="O251" s="8"/>
      <c r="P251" s="8"/>
      <c r="Q251" s="8"/>
      <c r="R251" s="8"/>
      <c r="S251" s="8"/>
      <c r="T251" s="8"/>
    </row>
    <row r="252" spans="1:20" x14ac:dyDescent="0.25">
      <c r="A252" s="7">
        <v>642</v>
      </c>
      <c r="B252" s="7" t="s">
        <v>1324</v>
      </c>
      <c r="C252" s="7" t="s">
        <v>145</v>
      </c>
      <c r="D252" s="7" t="s">
        <v>1325</v>
      </c>
      <c r="E252" s="7" t="s">
        <v>1326</v>
      </c>
      <c r="F252" s="7" t="s">
        <v>1327</v>
      </c>
      <c r="G252" s="7" t="s">
        <v>778</v>
      </c>
      <c r="H252" s="7" t="s">
        <v>150</v>
      </c>
      <c r="I252" s="7" t="s">
        <v>1328</v>
      </c>
      <c r="J252" s="7" t="s">
        <v>1329</v>
      </c>
      <c r="K252" s="7" t="s">
        <v>153</v>
      </c>
      <c r="L252" s="7" t="s">
        <v>154</v>
      </c>
      <c r="M252" s="7" t="s">
        <v>145</v>
      </c>
      <c r="N252" s="8"/>
      <c r="O252" s="8"/>
      <c r="P252" s="8"/>
      <c r="Q252" s="8"/>
      <c r="R252" s="8"/>
      <c r="S252" s="8"/>
      <c r="T252" s="8"/>
    </row>
    <row r="253" spans="1:20" x14ac:dyDescent="0.25">
      <c r="A253">
        <v>627</v>
      </c>
      <c r="B253" t="s">
        <v>1330</v>
      </c>
      <c r="C253" t="s">
        <v>145</v>
      </c>
      <c r="D253" t="s">
        <v>287</v>
      </c>
      <c r="E253" t="s">
        <v>1331</v>
      </c>
      <c r="F253" t="s">
        <v>1332</v>
      </c>
      <c r="G253" t="s">
        <v>149</v>
      </c>
      <c r="H253" t="s">
        <v>150</v>
      </c>
      <c r="I253" t="s">
        <v>1333</v>
      </c>
      <c r="J253" t="s">
        <v>1334</v>
      </c>
      <c r="K253" t="s">
        <v>153</v>
      </c>
      <c r="L253" t="s">
        <v>154</v>
      </c>
      <c r="M253" t="s">
        <v>145</v>
      </c>
      <c r="N253" s="8"/>
      <c r="O253" s="8"/>
      <c r="P253" s="8"/>
      <c r="Q253" s="8"/>
      <c r="R253" s="8"/>
      <c r="S253" s="8"/>
      <c r="T253" s="8"/>
    </row>
    <row r="254" spans="1:20" x14ac:dyDescent="0.25">
      <c r="A254" s="7">
        <v>355</v>
      </c>
      <c r="B254" s="7" t="s">
        <v>1335</v>
      </c>
      <c r="C254" s="7" t="s">
        <v>145</v>
      </c>
      <c r="D254" s="7" t="s">
        <v>417</v>
      </c>
      <c r="E254" s="7" t="s">
        <v>1336</v>
      </c>
      <c r="F254" s="7" t="s">
        <v>1337</v>
      </c>
      <c r="G254" s="7" t="s">
        <v>868</v>
      </c>
      <c r="H254" s="7" t="s">
        <v>150</v>
      </c>
      <c r="I254" s="7" t="s">
        <v>1338</v>
      </c>
      <c r="J254" s="7" t="s">
        <v>1339</v>
      </c>
      <c r="K254" s="7" t="s">
        <v>153</v>
      </c>
      <c r="L254" s="7" t="s">
        <v>154</v>
      </c>
      <c r="M254" s="7" t="s">
        <v>162</v>
      </c>
      <c r="N254" s="8"/>
      <c r="O254" s="8"/>
      <c r="P254" s="8"/>
      <c r="Q254" s="8"/>
      <c r="R254" s="8"/>
      <c r="S254" s="8"/>
      <c r="T254" s="8"/>
    </row>
    <row r="255" spans="1:20" x14ac:dyDescent="0.25">
      <c r="A255">
        <v>350</v>
      </c>
      <c r="B255" t="s">
        <v>1340</v>
      </c>
      <c r="C255" t="s">
        <v>145</v>
      </c>
      <c r="D255" t="s">
        <v>417</v>
      </c>
      <c r="E255" t="s">
        <v>1341</v>
      </c>
      <c r="F255" t="s">
        <v>1342</v>
      </c>
      <c r="G255" t="s">
        <v>1343</v>
      </c>
      <c r="H255" t="s">
        <v>150</v>
      </c>
      <c r="I255" t="s">
        <v>1344</v>
      </c>
      <c r="J255" t="s">
        <v>1345</v>
      </c>
      <c r="K255" t="s">
        <v>153</v>
      </c>
      <c r="L255" t="s">
        <v>154</v>
      </c>
      <c r="M255" t="s">
        <v>162</v>
      </c>
      <c r="N255" s="8"/>
      <c r="O255" s="8"/>
      <c r="P255" s="8"/>
      <c r="Q255" s="8"/>
      <c r="R255" s="8"/>
      <c r="S255" s="8"/>
      <c r="T255" s="8"/>
    </row>
    <row r="256" spans="1:20" x14ac:dyDescent="0.25">
      <c r="A256" s="7">
        <v>689</v>
      </c>
      <c r="B256" s="7" t="s">
        <v>1346</v>
      </c>
      <c r="C256" s="7" t="s">
        <v>145</v>
      </c>
      <c r="D256" s="7" t="s">
        <v>145</v>
      </c>
      <c r="E256" s="7" t="s">
        <v>1347</v>
      </c>
      <c r="F256" s="7" t="s">
        <v>1348</v>
      </c>
      <c r="G256" s="7" t="s">
        <v>149</v>
      </c>
      <c r="H256" s="7" t="s">
        <v>150</v>
      </c>
      <c r="I256" s="7" t="s">
        <v>1349</v>
      </c>
      <c r="J256" s="7" t="s">
        <v>1350</v>
      </c>
      <c r="K256" s="7" t="s">
        <v>153</v>
      </c>
      <c r="L256" s="7" t="s">
        <v>154</v>
      </c>
      <c r="M256" s="7" t="s">
        <v>145</v>
      </c>
      <c r="N256" s="8"/>
      <c r="O256" s="8"/>
      <c r="P256" s="8"/>
      <c r="Q256" s="8"/>
      <c r="R256" s="8"/>
      <c r="S256" s="8"/>
      <c r="T256" s="8"/>
    </row>
    <row r="257" spans="1:20" x14ac:dyDescent="0.25">
      <c r="A257">
        <v>732</v>
      </c>
      <c r="B257" t="s">
        <v>1351</v>
      </c>
      <c r="C257" t="s">
        <v>145</v>
      </c>
      <c r="D257" t="s">
        <v>46</v>
      </c>
      <c r="E257" t="s">
        <v>1352</v>
      </c>
      <c r="F257" t="s">
        <v>1353</v>
      </c>
      <c r="G257" t="s">
        <v>149</v>
      </c>
      <c r="H257" t="s">
        <v>150</v>
      </c>
      <c r="I257" t="s">
        <v>1354</v>
      </c>
      <c r="J257" t="s">
        <v>1355</v>
      </c>
      <c r="K257" t="s">
        <v>153</v>
      </c>
      <c r="L257" t="s">
        <v>154</v>
      </c>
      <c r="M257" t="s">
        <v>162</v>
      </c>
      <c r="N257" s="8"/>
      <c r="O257" s="8"/>
      <c r="P257" s="8"/>
      <c r="Q257" s="8"/>
      <c r="R257" s="8"/>
      <c r="S257" s="8"/>
      <c r="T257" s="8"/>
    </row>
    <row r="258" spans="1:20" x14ac:dyDescent="0.25">
      <c r="A258" s="7">
        <v>714</v>
      </c>
      <c r="B258" s="7" t="s">
        <v>1356</v>
      </c>
      <c r="C258" s="7" t="s">
        <v>145</v>
      </c>
      <c r="D258" s="7" t="s">
        <v>145</v>
      </c>
      <c r="E258" s="7" t="s">
        <v>1357</v>
      </c>
      <c r="F258" s="7" t="s">
        <v>1358</v>
      </c>
      <c r="G258" s="7" t="s">
        <v>1133</v>
      </c>
      <c r="H258" s="7" t="s">
        <v>150</v>
      </c>
      <c r="I258" s="7" t="s">
        <v>1359</v>
      </c>
      <c r="J258" s="7" t="s">
        <v>1360</v>
      </c>
      <c r="K258" s="7" t="s">
        <v>153</v>
      </c>
      <c r="L258" s="7" t="s">
        <v>154</v>
      </c>
      <c r="M258" s="7" t="s">
        <v>162</v>
      </c>
      <c r="N258" s="8"/>
      <c r="O258" s="8"/>
      <c r="P258" s="8"/>
      <c r="Q258" s="8"/>
      <c r="R258" s="8"/>
      <c r="S258" s="8"/>
      <c r="T258" s="8"/>
    </row>
    <row r="259" spans="1:20" x14ac:dyDescent="0.25">
      <c r="A259">
        <v>567</v>
      </c>
      <c r="B259" t="s">
        <v>1361</v>
      </c>
      <c r="C259" t="s">
        <v>145</v>
      </c>
      <c r="D259" t="s">
        <v>146</v>
      </c>
      <c r="E259" t="s">
        <v>1362</v>
      </c>
      <c r="F259" t="s">
        <v>1363</v>
      </c>
      <c r="G259" t="s">
        <v>159</v>
      </c>
      <c r="H259" t="s">
        <v>150</v>
      </c>
      <c r="I259" t="s">
        <v>1364</v>
      </c>
      <c r="J259" t="s">
        <v>1365</v>
      </c>
      <c r="K259" t="s">
        <v>153</v>
      </c>
      <c r="L259" t="s">
        <v>154</v>
      </c>
      <c r="M259" t="s">
        <v>162</v>
      </c>
      <c r="N259" s="8"/>
      <c r="O259" s="8"/>
      <c r="P259" s="8"/>
      <c r="Q259" s="8"/>
      <c r="R259" s="8"/>
      <c r="S259" s="8"/>
      <c r="T259" s="8"/>
    </row>
    <row r="260" spans="1:20" x14ac:dyDescent="0.25">
      <c r="A260" s="7">
        <v>453</v>
      </c>
      <c r="B260" s="7" t="s">
        <v>1366</v>
      </c>
      <c r="C260" s="7" t="s">
        <v>1367</v>
      </c>
      <c r="D260" s="7" t="s">
        <v>146</v>
      </c>
      <c r="E260" s="7" t="s">
        <v>1368</v>
      </c>
      <c r="F260" s="7" t="s">
        <v>1369</v>
      </c>
      <c r="G260" s="7" t="s">
        <v>198</v>
      </c>
      <c r="H260" s="7" t="s">
        <v>150</v>
      </c>
      <c r="I260" s="7" t="s">
        <v>1370</v>
      </c>
      <c r="J260" s="7" t="s">
        <v>1371</v>
      </c>
      <c r="K260" s="7" t="s">
        <v>153</v>
      </c>
      <c r="L260" s="7" t="s">
        <v>154</v>
      </c>
      <c r="M260" s="7" t="s">
        <v>162</v>
      </c>
      <c r="N260" s="8"/>
      <c r="O260" s="8"/>
      <c r="P260" s="8"/>
      <c r="Q260" s="8"/>
      <c r="R260" s="8"/>
      <c r="S260" s="8"/>
      <c r="T260" s="8"/>
    </row>
    <row r="261" spans="1:20" x14ac:dyDescent="0.25">
      <c r="A261">
        <v>382</v>
      </c>
      <c r="B261" t="s">
        <v>1372</v>
      </c>
      <c r="C261" t="s">
        <v>145</v>
      </c>
      <c r="D261" t="s">
        <v>304</v>
      </c>
      <c r="E261" t="s">
        <v>1373</v>
      </c>
      <c r="F261" t="s">
        <v>1374</v>
      </c>
      <c r="G261" t="s">
        <v>1375</v>
      </c>
      <c r="H261" t="s">
        <v>150</v>
      </c>
      <c r="I261" t="s">
        <v>355</v>
      </c>
      <c r="J261" t="s">
        <v>356</v>
      </c>
      <c r="K261" t="s">
        <v>153</v>
      </c>
      <c r="L261" t="s">
        <v>154</v>
      </c>
      <c r="M261" t="s">
        <v>162</v>
      </c>
      <c r="N261" s="8"/>
      <c r="O261" s="8"/>
      <c r="P261" s="8"/>
      <c r="Q261" s="8"/>
      <c r="R261" s="8"/>
      <c r="S261" s="8"/>
      <c r="T261" s="8"/>
    </row>
    <row r="262" spans="1:20" x14ac:dyDescent="0.25">
      <c r="A262" s="7">
        <v>683</v>
      </c>
      <c r="B262" s="7" t="s">
        <v>1376</v>
      </c>
      <c r="C262" s="7" t="s">
        <v>145</v>
      </c>
      <c r="D262" s="7" t="s">
        <v>145</v>
      </c>
      <c r="E262" s="7" t="s">
        <v>1377</v>
      </c>
      <c r="F262" s="7" t="s">
        <v>1378</v>
      </c>
      <c r="G262" s="7" t="s">
        <v>149</v>
      </c>
      <c r="H262" s="7" t="s">
        <v>150</v>
      </c>
      <c r="I262" s="7" t="s">
        <v>1379</v>
      </c>
      <c r="J262" s="7" t="s">
        <v>1380</v>
      </c>
      <c r="K262" s="7" t="s">
        <v>153</v>
      </c>
      <c r="L262" s="7" t="s">
        <v>154</v>
      </c>
      <c r="M262" s="7" t="s">
        <v>145</v>
      </c>
      <c r="N262" s="8"/>
      <c r="O262" s="8"/>
      <c r="P262" s="8"/>
      <c r="Q262" s="8"/>
      <c r="R262" s="8"/>
      <c r="S262" s="8"/>
      <c r="T262" s="8"/>
    </row>
    <row r="263" spans="1:20" x14ac:dyDescent="0.25">
      <c r="A263">
        <v>578</v>
      </c>
      <c r="B263" t="s">
        <v>1381</v>
      </c>
      <c r="C263" t="s">
        <v>145</v>
      </c>
      <c r="D263" t="s">
        <v>146</v>
      </c>
      <c r="E263" t="s">
        <v>1382</v>
      </c>
      <c r="F263" t="s">
        <v>1383</v>
      </c>
      <c r="G263" t="s">
        <v>198</v>
      </c>
      <c r="H263" t="s">
        <v>150</v>
      </c>
      <c r="I263" t="s">
        <v>1384</v>
      </c>
      <c r="J263" t="s">
        <v>1385</v>
      </c>
      <c r="K263" t="s">
        <v>153</v>
      </c>
      <c r="L263" t="s">
        <v>85</v>
      </c>
      <c r="M263" t="s">
        <v>145</v>
      </c>
      <c r="N263" s="8"/>
      <c r="O263" s="8"/>
      <c r="P263" s="8"/>
      <c r="Q263" s="8"/>
      <c r="R263" s="8"/>
      <c r="S263" s="8"/>
      <c r="T263" s="8"/>
    </row>
    <row r="264" spans="1:20" x14ac:dyDescent="0.25">
      <c r="A264" s="7">
        <v>369</v>
      </c>
      <c r="B264" s="7" t="s">
        <v>1386</v>
      </c>
      <c r="C264" s="7" t="s">
        <v>145</v>
      </c>
      <c r="D264" s="7" t="s">
        <v>287</v>
      </c>
      <c r="E264" s="7" t="s">
        <v>1387</v>
      </c>
      <c r="F264" s="7" t="s">
        <v>1388</v>
      </c>
      <c r="G264" s="7" t="s">
        <v>198</v>
      </c>
      <c r="H264" s="7" t="s">
        <v>150</v>
      </c>
      <c r="I264" s="7" t="s">
        <v>1389</v>
      </c>
      <c r="J264" s="7" t="s">
        <v>741</v>
      </c>
      <c r="K264" s="7" t="s">
        <v>153</v>
      </c>
      <c r="L264" s="7" t="s">
        <v>154</v>
      </c>
      <c r="M264" s="7" t="s">
        <v>162</v>
      </c>
      <c r="N264" s="8"/>
      <c r="O264" s="8"/>
      <c r="P264" s="8"/>
      <c r="Q264" s="8"/>
      <c r="R264" s="8"/>
      <c r="S264" s="8"/>
      <c r="T264" s="8"/>
    </row>
    <row r="265" spans="1:20" x14ac:dyDescent="0.25">
      <c r="A265">
        <v>496</v>
      </c>
      <c r="B265" t="s">
        <v>1390</v>
      </c>
      <c r="C265" t="s">
        <v>145</v>
      </c>
      <c r="D265" t="s">
        <v>146</v>
      </c>
      <c r="E265" t="s">
        <v>1391</v>
      </c>
      <c r="F265" t="s">
        <v>1392</v>
      </c>
      <c r="G265" t="s">
        <v>232</v>
      </c>
      <c r="H265" t="s">
        <v>150</v>
      </c>
      <c r="I265" t="s">
        <v>1393</v>
      </c>
      <c r="J265" t="s">
        <v>1394</v>
      </c>
      <c r="K265" t="s">
        <v>153</v>
      </c>
      <c r="L265" t="s">
        <v>275</v>
      </c>
      <c r="M265" t="s">
        <v>145</v>
      </c>
      <c r="N265" s="8"/>
      <c r="O265" s="8"/>
      <c r="P265" s="8"/>
      <c r="Q265" s="8"/>
      <c r="R265" s="8"/>
      <c r="S265" s="8"/>
      <c r="T265" s="8"/>
    </row>
    <row r="266" spans="1:20" x14ac:dyDescent="0.25">
      <c r="A266" s="7">
        <v>594</v>
      </c>
      <c r="B266" s="7" t="s">
        <v>1395</v>
      </c>
      <c r="C266" s="7" t="s">
        <v>145</v>
      </c>
      <c r="D266" s="7" t="s">
        <v>304</v>
      </c>
      <c r="E266" s="7" t="s">
        <v>1396</v>
      </c>
      <c r="F266" s="7" t="s">
        <v>1397</v>
      </c>
      <c r="G266" s="7" t="s">
        <v>1398</v>
      </c>
      <c r="H266" s="7" t="s">
        <v>150</v>
      </c>
      <c r="I266" s="7" t="s">
        <v>1399</v>
      </c>
      <c r="J266" s="7" t="s">
        <v>1400</v>
      </c>
      <c r="K266" s="7" t="s">
        <v>153</v>
      </c>
      <c r="L266" s="7" t="s">
        <v>85</v>
      </c>
      <c r="M266" s="7" t="s">
        <v>145</v>
      </c>
      <c r="N266" s="8"/>
      <c r="O266" s="8"/>
      <c r="P266" s="8"/>
      <c r="Q266" s="8"/>
      <c r="R266" s="8"/>
      <c r="S266" s="8"/>
      <c r="T266" s="8"/>
    </row>
    <row r="267" spans="1:20" x14ac:dyDescent="0.25">
      <c r="A267">
        <v>672</v>
      </c>
      <c r="B267" t="s">
        <v>1401</v>
      </c>
      <c r="C267" t="s">
        <v>145</v>
      </c>
      <c r="D267" t="s">
        <v>346</v>
      </c>
      <c r="E267" t="s">
        <v>1402</v>
      </c>
      <c r="F267" t="s">
        <v>1403</v>
      </c>
      <c r="H267" t="s">
        <v>150</v>
      </c>
      <c r="I267" t="s">
        <v>1404</v>
      </c>
      <c r="J267" t="s">
        <v>1405</v>
      </c>
      <c r="K267" t="s">
        <v>153</v>
      </c>
      <c r="L267" t="s">
        <v>154</v>
      </c>
      <c r="M267" t="s">
        <v>162</v>
      </c>
      <c r="N267" s="8"/>
      <c r="O267" s="8"/>
      <c r="P267" s="8"/>
      <c r="Q267" s="8"/>
      <c r="R267" s="8"/>
      <c r="S267" s="8"/>
      <c r="T267" s="8"/>
    </row>
    <row r="268" spans="1:20" x14ac:dyDescent="0.25">
      <c r="A268" s="7">
        <v>848</v>
      </c>
      <c r="B268" s="7" t="s">
        <v>1406</v>
      </c>
      <c r="C268" s="7" t="s">
        <v>1407</v>
      </c>
      <c r="D268" s="7" t="s">
        <v>145</v>
      </c>
      <c r="E268" s="7" t="s">
        <v>1408</v>
      </c>
      <c r="F268" s="7" t="s">
        <v>1409</v>
      </c>
      <c r="G268" s="7" t="s">
        <v>1410</v>
      </c>
      <c r="H268" s="7" t="s">
        <v>215</v>
      </c>
      <c r="I268" s="7" t="s">
        <v>1411</v>
      </c>
      <c r="J268" s="7" t="s">
        <v>1412</v>
      </c>
      <c r="K268" s="7" t="s">
        <v>153</v>
      </c>
      <c r="L268" s="7" t="s">
        <v>154</v>
      </c>
      <c r="M268" s="7" t="s">
        <v>162</v>
      </c>
      <c r="N268" s="8"/>
      <c r="O268" s="8"/>
      <c r="P268" s="8"/>
      <c r="Q268" s="8"/>
      <c r="R268" s="8"/>
      <c r="S268" s="8"/>
      <c r="T268" s="8"/>
    </row>
    <row r="269" spans="1:20" x14ac:dyDescent="0.25">
      <c r="A269">
        <v>771</v>
      </c>
      <c r="B269" t="s">
        <v>1413</v>
      </c>
      <c r="C269" t="s">
        <v>1407</v>
      </c>
      <c r="D269" t="s">
        <v>304</v>
      </c>
      <c r="E269" t="s">
        <v>1408</v>
      </c>
      <c r="F269" t="s">
        <v>1414</v>
      </c>
      <c r="G269" t="s">
        <v>593</v>
      </c>
      <c r="H269" t="s">
        <v>150</v>
      </c>
      <c r="I269" t="s">
        <v>1411</v>
      </c>
      <c r="J269" t="s">
        <v>1412</v>
      </c>
      <c r="K269" t="s">
        <v>153</v>
      </c>
      <c r="L269" t="s">
        <v>154</v>
      </c>
      <c r="M269" t="s">
        <v>162</v>
      </c>
      <c r="N269" s="8"/>
      <c r="O269" s="8"/>
      <c r="P269" s="8"/>
      <c r="Q269" s="8"/>
      <c r="R269" s="8"/>
      <c r="S269" s="8"/>
      <c r="T269" s="8"/>
    </row>
    <row r="270" spans="1:20" x14ac:dyDescent="0.25">
      <c r="A270" s="7">
        <v>763</v>
      </c>
      <c r="B270" s="7" t="s">
        <v>1415</v>
      </c>
      <c r="C270" s="7" t="s">
        <v>1416</v>
      </c>
      <c r="D270" s="7" t="s">
        <v>304</v>
      </c>
      <c r="E270" s="7" t="s">
        <v>1417</v>
      </c>
      <c r="F270" s="7" t="s">
        <v>1418</v>
      </c>
      <c r="G270" s="7" t="s">
        <v>1419</v>
      </c>
      <c r="H270" s="7" t="s">
        <v>150</v>
      </c>
      <c r="I270" s="7" t="s">
        <v>1420</v>
      </c>
      <c r="J270" s="7" t="s">
        <v>1421</v>
      </c>
      <c r="K270" s="7" t="s">
        <v>153</v>
      </c>
      <c r="L270" s="7" t="s">
        <v>154</v>
      </c>
      <c r="M270" s="7" t="s">
        <v>162</v>
      </c>
      <c r="N270" s="8"/>
      <c r="O270" s="8"/>
      <c r="P270" s="8"/>
      <c r="Q270" s="8"/>
      <c r="R270" s="8"/>
      <c r="S270" s="8"/>
      <c r="T270" s="8"/>
    </row>
    <row r="271" spans="1:20" x14ac:dyDescent="0.25">
      <c r="A271">
        <v>760</v>
      </c>
      <c r="B271" t="s">
        <v>1422</v>
      </c>
      <c r="C271" t="s">
        <v>1416</v>
      </c>
      <c r="D271" t="s">
        <v>304</v>
      </c>
      <c r="E271" t="s">
        <v>1417</v>
      </c>
      <c r="F271" t="s">
        <v>1423</v>
      </c>
      <c r="G271" t="s">
        <v>1424</v>
      </c>
      <c r="H271" t="s">
        <v>150</v>
      </c>
      <c r="I271" t="s">
        <v>1420</v>
      </c>
      <c r="J271" t="s">
        <v>1425</v>
      </c>
      <c r="K271" t="s">
        <v>153</v>
      </c>
      <c r="L271" t="s">
        <v>154</v>
      </c>
      <c r="M271" t="s">
        <v>162</v>
      </c>
      <c r="N271" s="8"/>
      <c r="O271" s="8"/>
      <c r="P271" s="8"/>
      <c r="Q271" s="8"/>
      <c r="R271" s="8"/>
      <c r="S271" s="8"/>
      <c r="T271" s="8"/>
    </row>
    <row r="272" spans="1:20" x14ac:dyDescent="0.25">
      <c r="A272" s="7">
        <v>762</v>
      </c>
      <c r="B272" s="7" t="s">
        <v>1426</v>
      </c>
      <c r="C272" s="7" t="s">
        <v>1416</v>
      </c>
      <c r="D272" s="7" t="s">
        <v>304</v>
      </c>
      <c r="E272" s="7" t="s">
        <v>1417</v>
      </c>
      <c r="F272" s="7" t="s">
        <v>1427</v>
      </c>
      <c r="G272" s="7" t="s">
        <v>1428</v>
      </c>
      <c r="H272" s="7" t="s">
        <v>150</v>
      </c>
      <c r="I272" s="7" t="s">
        <v>1429</v>
      </c>
      <c r="J272" s="7" t="s">
        <v>1421</v>
      </c>
      <c r="K272" s="7" t="s">
        <v>153</v>
      </c>
      <c r="L272" s="7" t="s">
        <v>154</v>
      </c>
      <c r="M272" s="7" t="s">
        <v>162</v>
      </c>
      <c r="N272" s="8"/>
      <c r="O272" s="8"/>
      <c r="P272" s="8"/>
      <c r="Q272" s="8"/>
      <c r="R272" s="8"/>
      <c r="S272" s="8"/>
      <c r="T272" s="8"/>
    </row>
    <row r="273" spans="1:20" x14ac:dyDescent="0.25">
      <c r="A273">
        <v>761</v>
      </c>
      <c r="B273" t="s">
        <v>1430</v>
      </c>
      <c r="C273" t="s">
        <v>1416</v>
      </c>
      <c r="D273" t="s">
        <v>304</v>
      </c>
      <c r="E273" t="s">
        <v>1417</v>
      </c>
      <c r="F273" t="s">
        <v>1431</v>
      </c>
      <c r="G273" t="s">
        <v>1432</v>
      </c>
      <c r="H273" t="s">
        <v>150</v>
      </c>
      <c r="I273" t="s">
        <v>1433</v>
      </c>
      <c r="J273" t="s">
        <v>1421</v>
      </c>
      <c r="K273" t="s">
        <v>153</v>
      </c>
      <c r="L273" t="s">
        <v>154</v>
      </c>
      <c r="M273" t="s">
        <v>162</v>
      </c>
      <c r="N273" s="8"/>
      <c r="O273" s="8"/>
      <c r="P273" s="8"/>
      <c r="Q273" s="8"/>
      <c r="R273" s="8"/>
      <c r="S273" s="8"/>
      <c r="T273" s="8"/>
    </row>
    <row r="274" spans="1:20" x14ac:dyDescent="0.25">
      <c r="A274" s="7">
        <v>677</v>
      </c>
      <c r="B274" s="7" t="s">
        <v>1434</v>
      </c>
      <c r="C274" s="7" t="s">
        <v>1435</v>
      </c>
      <c r="D274" s="7" t="s">
        <v>145</v>
      </c>
      <c r="E274" s="7" t="s">
        <v>1436</v>
      </c>
      <c r="F274" s="7" t="s">
        <v>1437</v>
      </c>
      <c r="G274" s="7" t="s">
        <v>539</v>
      </c>
      <c r="H274" s="7" t="s">
        <v>150</v>
      </c>
      <c r="I274" s="7" t="s">
        <v>1438</v>
      </c>
      <c r="J274" s="7" t="s">
        <v>1439</v>
      </c>
      <c r="K274" s="7" t="s">
        <v>153</v>
      </c>
      <c r="L274" s="7" t="s">
        <v>154</v>
      </c>
      <c r="M274" s="7" t="s">
        <v>162</v>
      </c>
      <c r="N274" s="8"/>
      <c r="O274" s="8"/>
      <c r="P274" s="8"/>
      <c r="Q274" s="8"/>
      <c r="R274" s="8"/>
      <c r="S274" s="8"/>
      <c r="T274" s="8"/>
    </row>
    <row r="275" spans="1:20" x14ac:dyDescent="0.25">
      <c r="A275">
        <v>629</v>
      </c>
      <c r="B275" t="s">
        <v>1440</v>
      </c>
      <c r="C275" t="s">
        <v>145</v>
      </c>
      <c r="D275" t="s">
        <v>304</v>
      </c>
      <c r="E275" t="s">
        <v>1441</v>
      </c>
      <c r="F275" t="s">
        <v>1442</v>
      </c>
      <c r="G275" t="s">
        <v>1116</v>
      </c>
      <c r="H275" t="s">
        <v>150</v>
      </c>
      <c r="K275" t="s">
        <v>153</v>
      </c>
      <c r="L275" t="s">
        <v>154</v>
      </c>
      <c r="M275" t="s">
        <v>145</v>
      </c>
      <c r="N275" s="8"/>
      <c r="O275" s="8"/>
      <c r="P275" s="8"/>
      <c r="Q275" s="8"/>
      <c r="R275" s="8"/>
      <c r="S275" s="8"/>
      <c r="T275" s="8"/>
    </row>
    <row r="276" spans="1:20" x14ac:dyDescent="0.25">
      <c r="A276" s="7">
        <v>858</v>
      </c>
      <c r="B276" s="7" t="s">
        <v>1443</v>
      </c>
      <c r="C276" s="7" t="s">
        <v>145</v>
      </c>
      <c r="D276" s="7" t="s">
        <v>145</v>
      </c>
      <c r="E276" s="7" t="s">
        <v>1444</v>
      </c>
      <c r="F276" s="7" t="s">
        <v>1445</v>
      </c>
      <c r="G276" s="7" t="s">
        <v>1446</v>
      </c>
      <c r="H276" s="7" t="s">
        <v>527</v>
      </c>
      <c r="I276" s="7" t="s">
        <v>1447</v>
      </c>
      <c r="J276" s="7" t="s">
        <v>1448</v>
      </c>
      <c r="K276" s="7" t="s">
        <v>153</v>
      </c>
      <c r="L276" s="7" t="s">
        <v>154</v>
      </c>
      <c r="M276" s="7" t="s">
        <v>162</v>
      </c>
      <c r="N276" s="8"/>
      <c r="O276" s="8"/>
      <c r="P276" s="8"/>
      <c r="Q276" s="8"/>
      <c r="R276" s="8"/>
      <c r="S276" s="8"/>
      <c r="T276" s="8"/>
    </row>
    <row r="277" spans="1:20" x14ac:dyDescent="0.25">
      <c r="A277">
        <v>520</v>
      </c>
      <c r="B277" t="s">
        <v>1449</v>
      </c>
      <c r="C277" t="s">
        <v>145</v>
      </c>
      <c r="D277" t="s">
        <v>1450</v>
      </c>
      <c r="E277" t="s">
        <v>1451</v>
      </c>
      <c r="F277" t="s">
        <v>1452</v>
      </c>
      <c r="G277" t="s">
        <v>183</v>
      </c>
      <c r="H277" t="s">
        <v>150</v>
      </c>
      <c r="I277" t="s">
        <v>1453</v>
      </c>
      <c r="J277" t="s">
        <v>1454</v>
      </c>
      <c r="K277" t="s">
        <v>153</v>
      </c>
      <c r="L277" t="s">
        <v>85</v>
      </c>
      <c r="M277" t="s">
        <v>162</v>
      </c>
      <c r="N277" s="8"/>
      <c r="O277" s="8"/>
      <c r="P277" s="8"/>
      <c r="Q277" s="8"/>
      <c r="R277" s="8"/>
      <c r="S277" s="8"/>
      <c r="T277" s="8"/>
    </row>
    <row r="278" spans="1:20" x14ac:dyDescent="0.25">
      <c r="A278" s="7">
        <v>783</v>
      </c>
      <c r="B278" s="7" t="s">
        <v>1455</v>
      </c>
      <c r="C278" s="7" t="s">
        <v>145</v>
      </c>
      <c r="D278" s="7" t="s">
        <v>1450</v>
      </c>
      <c r="E278" s="7" t="s">
        <v>1456</v>
      </c>
      <c r="F278" s="7" t="s">
        <v>1457</v>
      </c>
      <c r="G278" s="7" t="s">
        <v>183</v>
      </c>
      <c r="H278" s="7" t="s">
        <v>150</v>
      </c>
      <c r="I278" s="7" t="s">
        <v>1458</v>
      </c>
      <c r="J278" s="7" t="s">
        <v>1459</v>
      </c>
      <c r="K278" s="7" t="s">
        <v>153</v>
      </c>
      <c r="L278" s="7" t="s">
        <v>154</v>
      </c>
      <c r="M278" s="7" t="s">
        <v>162</v>
      </c>
      <c r="N278" s="8"/>
      <c r="O278" s="8"/>
      <c r="P278" s="8"/>
      <c r="Q278" s="8"/>
      <c r="R278" s="8"/>
      <c r="S278" s="8"/>
      <c r="T278" s="8"/>
    </row>
    <row r="279" spans="1:20" x14ac:dyDescent="0.25">
      <c r="A279">
        <v>421</v>
      </c>
      <c r="B279" t="s">
        <v>1460</v>
      </c>
      <c r="C279" t="s">
        <v>145</v>
      </c>
      <c r="D279" t="s">
        <v>146</v>
      </c>
      <c r="E279" t="s">
        <v>1461</v>
      </c>
      <c r="F279" t="s">
        <v>1462</v>
      </c>
      <c r="G279" t="s">
        <v>221</v>
      </c>
      <c r="H279" t="s">
        <v>150</v>
      </c>
      <c r="I279" t="s">
        <v>1463</v>
      </c>
      <c r="J279" t="s">
        <v>1464</v>
      </c>
      <c r="K279" t="s">
        <v>153</v>
      </c>
      <c r="L279" t="s">
        <v>154</v>
      </c>
      <c r="M279" t="s">
        <v>162</v>
      </c>
      <c r="N279" s="8"/>
      <c r="O279" s="8"/>
      <c r="P279" s="8"/>
      <c r="Q279" s="8"/>
      <c r="R279" s="8"/>
      <c r="S279" s="8"/>
      <c r="T279" s="8"/>
    </row>
    <row r="280" spans="1:20" x14ac:dyDescent="0.25">
      <c r="A280" s="7">
        <v>618</v>
      </c>
      <c r="B280" s="7" t="s">
        <v>1465</v>
      </c>
      <c r="C280" s="7" t="s">
        <v>1466</v>
      </c>
      <c r="D280" s="7" t="s">
        <v>1059</v>
      </c>
      <c r="E280" s="7" t="s">
        <v>1467</v>
      </c>
      <c r="F280" s="7" t="s">
        <v>1468</v>
      </c>
      <c r="G280" s="7"/>
      <c r="H280" s="7" t="s">
        <v>150</v>
      </c>
      <c r="I280" s="7" t="s">
        <v>1469</v>
      </c>
      <c r="J280" s="7"/>
      <c r="K280" s="7" t="s">
        <v>153</v>
      </c>
      <c r="L280" s="7" t="s">
        <v>85</v>
      </c>
      <c r="M280" s="7" t="s">
        <v>162</v>
      </c>
      <c r="N280" s="8"/>
      <c r="O280" s="8"/>
      <c r="P280" s="8"/>
      <c r="Q280" s="8"/>
      <c r="R280" s="8"/>
      <c r="S280" s="8"/>
      <c r="T280" s="8"/>
    </row>
    <row r="281" spans="1:20" x14ac:dyDescent="0.25">
      <c r="A281">
        <v>710</v>
      </c>
      <c r="B281" t="s">
        <v>1470</v>
      </c>
      <c r="C281" t="s">
        <v>1466</v>
      </c>
      <c r="D281" t="s">
        <v>145</v>
      </c>
      <c r="E281" t="s">
        <v>1471</v>
      </c>
      <c r="F281" t="s">
        <v>1472</v>
      </c>
      <c r="G281" t="s">
        <v>1473</v>
      </c>
      <c r="H281" t="s">
        <v>527</v>
      </c>
      <c r="I281" t="s">
        <v>1469</v>
      </c>
      <c r="J281" t="s">
        <v>1474</v>
      </c>
      <c r="K281" t="s">
        <v>153</v>
      </c>
      <c r="L281" t="s">
        <v>85</v>
      </c>
      <c r="M281" t="s">
        <v>162</v>
      </c>
      <c r="N281" s="8"/>
      <c r="O281" s="8"/>
      <c r="P281" s="8"/>
      <c r="Q281" s="8"/>
      <c r="R281" s="8"/>
      <c r="S281" s="8"/>
      <c r="T281" s="8"/>
    </row>
    <row r="282" spans="1:20" x14ac:dyDescent="0.25">
      <c r="A282" s="7">
        <v>864</v>
      </c>
      <c r="B282" s="7" t="s">
        <v>1475</v>
      </c>
      <c r="C282" s="7" t="s">
        <v>1466</v>
      </c>
      <c r="D282" s="7" t="s">
        <v>145</v>
      </c>
      <c r="E282" s="7" t="s">
        <v>1471</v>
      </c>
      <c r="F282" s="7" t="s">
        <v>1476</v>
      </c>
      <c r="G282" s="7" t="s">
        <v>1477</v>
      </c>
      <c r="H282" s="7" t="s">
        <v>150</v>
      </c>
      <c r="I282" s="7" t="s">
        <v>1478</v>
      </c>
      <c r="J282" s="7" t="s">
        <v>1479</v>
      </c>
      <c r="K282" s="7" t="s">
        <v>153</v>
      </c>
      <c r="L282" s="7" t="s">
        <v>85</v>
      </c>
      <c r="M282" s="7" t="s">
        <v>162</v>
      </c>
      <c r="N282" s="8"/>
      <c r="O282" s="8"/>
      <c r="P282" s="8"/>
      <c r="Q282" s="8"/>
      <c r="R282" s="8"/>
      <c r="S282" s="8"/>
      <c r="T282" s="8"/>
    </row>
    <row r="283" spans="1:20" x14ac:dyDescent="0.25">
      <c r="A283">
        <v>438</v>
      </c>
      <c r="B283" t="s">
        <v>1480</v>
      </c>
      <c r="C283" t="s">
        <v>145</v>
      </c>
      <c r="D283" t="s">
        <v>146</v>
      </c>
      <c r="E283" t="s">
        <v>1481</v>
      </c>
      <c r="F283" t="s">
        <v>1482</v>
      </c>
      <c r="G283" t="s">
        <v>198</v>
      </c>
      <c r="H283" t="s">
        <v>150</v>
      </c>
      <c r="I283" t="s">
        <v>1483</v>
      </c>
      <c r="J283" t="s">
        <v>1484</v>
      </c>
      <c r="K283" t="s">
        <v>153</v>
      </c>
      <c r="L283" t="s">
        <v>85</v>
      </c>
      <c r="M283" t="s">
        <v>145</v>
      </c>
      <c r="N283" s="8"/>
      <c r="O283" s="8"/>
      <c r="P283" s="8"/>
      <c r="Q283" s="8"/>
      <c r="R283" s="8"/>
      <c r="S283" s="8"/>
      <c r="T283" s="8"/>
    </row>
    <row r="284" spans="1:20" x14ac:dyDescent="0.25">
      <c r="A284" s="7">
        <v>486</v>
      </c>
      <c r="B284" s="7" t="s">
        <v>1485</v>
      </c>
      <c r="C284" s="7" t="s">
        <v>145</v>
      </c>
      <c r="D284" s="7" t="s">
        <v>146</v>
      </c>
      <c r="E284" s="7" t="s">
        <v>1486</v>
      </c>
      <c r="F284" s="7" t="s">
        <v>1487</v>
      </c>
      <c r="G284" s="7" t="s">
        <v>1488</v>
      </c>
      <c r="H284" s="7" t="s">
        <v>150</v>
      </c>
      <c r="I284" s="7" t="s">
        <v>1489</v>
      </c>
      <c r="J284" s="7" t="s">
        <v>1490</v>
      </c>
      <c r="K284" s="7" t="s">
        <v>153</v>
      </c>
      <c r="L284" s="7" t="s">
        <v>85</v>
      </c>
      <c r="M284" s="7" t="s">
        <v>145</v>
      </c>
      <c r="N284" s="8"/>
      <c r="O284" s="8"/>
      <c r="P284" s="8"/>
      <c r="Q284" s="8"/>
      <c r="R284" s="8"/>
      <c r="S284" s="8"/>
      <c r="T284" s="8"/>
    </row>
    <row r="285" spans="1:20" x14ac:dyDescent="0.25">
      <c r="A285">
        <v>631</v>
      </c>
      <c r="B285" t="s">
        <v>1491</v>
      </c>
      <c r="C285" t="s">
        <v>145</v>
      </c>
      <c r="D285" t="s">
        <v>287</v>
      </c>
      <c r="E285" t="s">
        <v>1492</v>
      </c>
      <c r="F285" t="s">
        <v>1493</v>
      </c>
      <c r="G285" t="s">
        <v>183</v>
      </c>
      <c r="H285" t="s">
        <v>150</v>
      </c>
      <c r="I285" t="s">
        <v>318</v>
      </c>
      <c r="J285" t="s">
        <v>1494</v>
      </c>
      <c r="K285" t="s">
        <v>153</v>
      </c>
      <c r="L285" t="s">
        <v>154</v>
      </c>
      <c r="M285" t="s">
        <v>162</v>
      </c>
      <c r="N285" s="8"/>
      <c r="O285" s="8"/>
      <c r="P285" s="8"/>
      <c r="Q285" s="8"/>
      <c r="R285" s="8"/>
      <c r="S285" s="8"/>
      <c r="T285" s="8"/>
    </row>
    <row r="286" spans="1:20" x14ac:dyDescent="0.25">
      <c r="A286" s="7">
        <v>651</v>
      </c>
      <c r="B286" s="7" t="s">
        <v>1495</v>
      </c>
      <c r="C286" s="7" t="s">
        <v>145</v>
      </c>
      <c r="D286" s="7" t="s">
        <v>304</v>
      </c>
      <c r="E286" s="7" t="s">
        <v>1496</v>
      </c>
      <c r="F286" s="7" t="s">
        <v>1497</v>
      </c>
      <c r="G286" s="7" t="s">
        <v>868</v>
      </c>
      <c r="H286" s="7" t="s">
        <v>150</v>
      </c>
      <c r="I286" s="7"/>
      <c r="J286" s="7"/>
      <c r="K286" s="7" t="s">
        <v>153</v>
      </c>
      <c r="L286" s="7" t="s">
        <v>154</v>
      </c>
      <c r="M286" s="7" t="s">
        <v>145</v>
      </c>
      <c r="N286" s="8"/>
      <c r="O286" s="8"/>
      <c r="P286" s="8"/>
      <c r="Q286" s="8"/>
      <c r="R286" s="8"/>
      <c r="S286" s="8"/>
      <c r="T286" s="8"/>
    </row>
    <row r="287" spans="1:20" x14ac:dyDescent="0.25">
      <c r="A287">
        <v>691</v>
      </c>
      <c r="B287" t="s">
        <v>1498</v>
      </c>
      <c r="C287" t="s">
        <v>145</v>
      </c>
      <c r="D287" t="s">
        <v>304</v>
      </c>
      <c r="E287" t="s">
        <v>1499</v>
      </c>
      <c r="F287" t="s">
        <v>1500</v>
      </c>
      <c r="G287" t="s">
        <v>502</v>
      </c>
      <c r="H287" t="s">
        <v>150</v>
      </c>
      <c r="I287" t="s">
        <v>1501</v>
      </c>
      <c r="J287" t="s">
        <v>1502</v>
      </c>
      <c r="K287" t="s">
        <v>153</v>
      </c>
      <c r="L287" t="s">
        <v>154</v>
      </c>
      <c r="M287" t="s">
        <v>162</v>
      </c>
      <c r="N287" s="8"/>
      <c r="O287" s="8"/>
      <c r="P287" s="8"/>
      <c r="Q287" s="8"/>
      <c r="R287" s="8"/>
      <c r="S287" s="8"/>
      <c r="T287" s="8"/>
    </row>
    <row r="288" spans="1:20" x14ac:dyDescent="0.25">
      <c r="A288" s="7">
        <v>915</v>
      </c>
      <c r="B288" s="7" t="s">
        <v>1503</v>
      </c>
      <c r="C288" s="7" t="s">
        <v>145</v>
      </c>
      <c r="D288" s="7" t="s">
        <v>145</v>
      </c>
      <c r="E288" s="7" t="s">
        <v>1504</v>
      </c>
      <c r="F288" s="7" t="s">
        <v>1505</v>
      </c>
      <c r="G288" s="7" t="s">
        <v>1506</v>
      </c>
      <c r="H288" s="7" t="s">
        <v>215</v>
      </c>
      <c r="I288" s="7" t="s">
        <v>1507</v>
      </c>
      <c r="J288" s="7" t="s">
        <v>1508</v>
      </c>
      <c r="K288" s="7" t="s">
        <v>153</v>
      </c>
      <c r="L288" s="7" t="s">
        <v>154</v>
      </c>
      <c r="M288" s="7" t="s">
        <v>162</v>
      </c>
      <c r="N288" s="8"/>
      <c r="O288" s="8"/>
      <c r="P288" s="8"/>
      <c r="Q288" s="8"/>
      <c r="R288" s="8"/>
      <c r="S288" s="8"/>
      <c r="T288" s="8"/>
    </row>
    <row r="289" spans="1:20" x14ac:dyDescent="0.25">
      <c r="A289">
        <v>717</v>
      </c>
      <c r="B289" t="s">
        <v>1509</v>
      </c>
      <c r="C289" t="s">
        <v>1510</v>
      </c>
      <c r="D289" t="s">
        <v>304</v>
      </c>
      <c r="E289" t="s">
        <v>1511</v>
      </c>
      <c r="F289" t="s">
        <v>1512</v>
      </c>
      <c r="G289" t="s">
        <v>868</v>
      </c>
      <c r="H289" t="s">
        <v>150</v>
      </c>
      <c r="I289" t="s">
        <v>1513</v>
      </c>
      <c r="J289" t="s">
        <v>1514</v>
      </c>
      <c r="K289" t="s">
        <v>153</v>
      </c>
      <c r="L289" t="s">
        <v>154</v>
      </c>
      <c r="M289" t="s">
        <v>145</v>
      </c>
      <c r="N289" s="8"/>
      <c r="O289" s="8"/>
      <c r="P289" s="8"/>
      <c r="Q289" s="8"/>
      <c r="R289" s="8"/>
      <c r="S289" s="8"/>
      <c r="T289" s="8"/>
    </row>
    <row r="290" spans="1:20" x14ac:dyDescent="0.25">
      <c r="A290" s="7">
        <v>718</v>
      </c>
      <c r="B290" s="7" t="s">
        <v>1515</v>
      </c>
      <c r="C290" s="7" t="s">
        <v>1510</v>
      </c>
      <c r="D290" s="7" t="s">
        <v>304</v>
      </c>
      <c r="E290" s="7" t="s">
        <v>1511</v>
      </c>
      <c r="F290" s="7" t="s">
        <v>1516</v>
      </c>
      <c r="G290" s="7" t="s">
        <v>868</v>
      </c>
      <c r="H290" s="7" t="s">
        <v>150</v>
      </c>
      <c r="I290" s="7" t="s">
        <v>1513</v>
      </c>
      <c r="J290" s="7" t="s">
        <v>1514</v>
      </c>
      <c r="K290" s="7" t="s">
        <v>153</v>
      </c>
      <c r="L290" s="7" t="s">
        <v>154</v>
      </c>
      <c r="M290" s="7" t="s">
        <v>145</v>
      </c>
      <c r="N290" s="8"/>
      <c r="O290" s="8"/>
      <c r="P290" s="8"/>
      <c r="Q290" s="8"/>
      <c r="R290" s="8"/>
      <c r="S290" s="8"/>
      <c r="T290" s="8"/>
    </row>
    <row r="291" spans="1:20" x14ac:dyDescent="0.25">
      <c r="A291">
        <v>727</v>
      </c>
      <c r="B291" t="s">
        <v>1517</v>
      </c>
      <c r="C291" t="s">
        <v>145</v>
      </c>
      <c r="D291" t="s">
        <v>145</v>
      </c>
      <c r="E291" t="s">
        <v>1518</v>
      </c>
      <c r="F291" t="s">
        <v>1519</v>
      </c>
      <c r="G291" t="s">
        <v>183</v>
      </c>
      <c r="H291" t="s">
        <v>150</v>
      </c>
      <c r="I291" t="s">
        <v>1520</v>
      </c>
      <c r="J291" t="s">
        <v>1521</v>
      </c>
      <c r="K291" t="s">
        <v>153</v>
      </c>
      <c r="L291" t="s">
        <v>154</v>
      </c>
      <c r="M291" t="s">
        <v>145</v>
      </c>
      <c r="N291" s="8"/>
      <c r="O291" s="8"/>
      <c r="P291" s="8"/>
      <c r="Q291" s="8"/>
      <c r="R291" s="8"/>
      <c r="S291" s="8"/>
      <c r="T291" s="8"/>
    </row>
    <row r="292" spans="1:20" x14ac:dyDescent="0.25">
      <c r="A292" s="7">
        <v>731</v>
      </c>
      <c r="B292" s="7" t="s">
        <v>1522</v>
      </c>
      <c r="C292" s="7" t="s">
        <v>145</v>
      </c>
      <c r="D292" s="7" t="s">
        <v>145</v>
      </c>
      <c r="E292" s="7" t="s">
        <v>1523</v>
      </c>
      <c r="F292" s="7" t="s">
        <v>1524</v>
      </c>
      <c r="G292" s="7" t="s">
        <v>1525</v>
      </c>
      <c r="H292" s="7" t="s">
        <v>150</v>
      </c>
      <c r="I292" s="7" t="s">
        <v>1526</v>
      </c>
      <c r="J292" s="7" t="s">
        <v>1527</v>
      </c>
      <c r="K292" s="7" t="s">
        <v>153</v>
      </c>
      <c r="L292" s="7" t="s">
        <v>275</v>
      </c>
      <c r="M292" s="7" t="s">
        <v>145</v>
      </c>
      <c r="N292" s="8"/>
      <c r="O292" s="8"/>
      <c r="P292" s="8"/>
      <c r="Q292" s="8"/>
      <c r="R292" s="8"/>
      <c r="S292" s="8"/>
      <c r="T292" s="8"/>
    </row>
    <row r="293" spans="1:20" x14ac:dyDescent="0.25">
      <c r="A293">
        <v>704</v>
      </c>
      <c r="B293" t="s">
        <v>1528</v>
      </c>
      <c r="C293" t="s">
        <v>145</v>
      </c>
      <c r="D293" t="s">
        <v>145</v>
      </c>
      <c r="E293" t="s">
        <v>1529</v>
      </c>
      <c r="F293" t="s">
        <v>1530</v>
      </c>
      <c r="G293" t="s">
        <v>603</v>
      </c>
      <c r="H293" t="s">
        <v>150</v>
      </c>
      <c r="I293" t="s">
        <v>1531</v>
      </c>
      <c r="J293" t="s">
        <v>1532</v>
      </c>
      <c r="K293" t="s">
        <v>153</v>
      </c>
      <c r="L293" t="s">
        <v>154</v>
      </c>
      <c r="M293" t="s">
        <v>145</v>
      </c>
      <c r="N293" s="8"/>
      <c r="O293" s="8"/>
      <c r="P293" s="8"/>
      <c r="Q293" s="8"/>
      <c r="R293" s="8"/>
      <c r="S293" s="8"/>
      <c r="T293" s="8"/>
    </row>
    <row r="294" spans="1:20" x14ac:dyDescent="0.25">
      <c r="A294" s="7">
        <v>834</v>
      </c>
      <c r="B294" s="7" t="s">
        <v>1533</v>
      </c>
      <c r="C294" s="7" t="s">
        <v>145</v>
      </c>
      <c r="D294" s="7" t="s">
        <v>145</v>
      </c>
      <c r="E294" s="7" t="s">
        <v>1534</v>
      </c>
      <c r="F294" s="7" t="s">
        <v>1535</v>
      </c>
      <c r="G294" s="7" t="s">
        <v>1536</v>
      </c>
      <c r="H294" s="7" t="s">
        <v>215</v>
      </c>
      <c r="I294" s="7" t="s">
        <v>1537</v>
      </c>
      <c r="J294" s="7" t="s">
        <v>1538</v>
      </c>
      <c r="K294" s="7" t="s">
        <v>153</v>
      </c>
      <c r="L294" s="7" t="s">
        <v>154</v>
      </c>
      <c r="M294" s="7" t="s">
        <v>162</v>
      </c>
      <c r="N294" s="8"/>
      <c r="O294" s="8"/>
      <c r="P294" s="8"/>
      <c r="Q294" s="8"/>
      <c r="R294" s="8"/>
      <c r="S294" s="8"/>
      <c r="T294" s="8"/>
    </row>
    <row r="295" spans="1:20" x14ac:dyDescent="0.25">
      <c r="A295">
        <v>415</v>
      </c>
      <c r="B295" t="s">
        <v>1539</v>
      </c>
      <c r="C295" t="s">
        <v>145</v>
      </c>
      <c r="D295" t="s">
        <v>346</v>
      </c>
      <c r="E295" t="s">
        <v>1540</v>
      </c>
      <c r="F295" t="s">
        <v>1541</v>
      </c>
      <c r="G295" t="s">
        <v>323</v>
      </c>
      <c r="H295" t="s">
        <v>150</v>
      </c>
      <c r="I295" t="s">
        <v>1542</v>
      </c>
      <c r="J295" t="s">
        <v>1543</v>
      </c>
      <c r="K295" t="s">
        <v>153</v>
      </c>
      <c r="L295" t="s">
        <v>154</v>
      </c>
      <c r="M295" t="s">
        <v>162</v>
      </c>
      <c r="N295" s="8"/>
      <c r="O295" s="8"/>
      <c r="P295" s="8"/>
      <c r="Q295" s="8"/>
      <c r="R295" s="8"/>
      <c r="S295" s="8"/>
      <c r="T295" s="8"/>
    </row>
    <row r="296" spans="1:20" x14ac:dyDescent="0.25">
      <c r="A296" s="7">
        <v>766</v>
      </c>
      <c r="B296" s="7" t="s">
        <v>1544</v>
      </c>
      <c r="C296" s="7" t="s">
        <v>145</v>
      </c>
      <c r="D296" s="7" t="s">
        <v>145</v>
      </c>
      <c r="E296" s="7" t="s">
        <v>1545</v>
      </c>
      <c r="F296" s="7" t="s">
        <v>1546</v>
      </c>
      <c r="G296" s="7" t="s">
        <v>149</v>
      </c>
      <c r="H296" s="7" t="s">
        <v>150</v>
      </c>
      <c r="I296" s="7" t="s">
        <v>1547</v>
      </c>
      <c r="J296" s="7" t="s">
        <v>1548</v>
      </c>
      <c r="K296" s="7" t="s">
        <v>153</v>
      </c>
      <c r="L296" s="7" t="s">
        <v>85</v>
      </c>
      <c r="M296" s="7" t="s">
        <v>145</v>
      </c>
      <c r="N296" s="8"/>
      <c r="O296" s="8"/>
      <c r="P296" s="8"/>
      <c r="Q296" s="8"/>
      <c r="R296" s="8"/>
      <c r="S296" s="8"/>
      <c r="T296" s="8"/>
    </row>
    <row r="297" spans="1:20" x14ac:dyDescent="0.25">
      <c r="A297">
        <v>554</v>
      </c>
      <c r="B297" t="s">
        <v>1549</v>
      </c>
      <c r="C297" t="s">
        <v>145</v>
      </c>
      <c r="D297" t="s">
        <v>146</v>
      </c>
      <c r="E297" t="s">
        <v>1550</v>
      </c>
      <c r="F297" t="s">
        <v>1551</v>
      </c>
      <c r="G297" t="s">
        <v>198</v>
      </c>
      <c r="H297" t="s">
        <v>150</v>
      </c>
      <c r="I297" t="s">
        <v>1552</v>
      </c>
      <c r="J297" t="s">
        <v>1553</v>
      </c>
      <c r="K297" t="s">
        <v>153</v>
      </c>
      <c r="L297" t="s">
        <v>85</v>
      </c>
      <c r="M297" t="s">
        <v>145</v>
      </c>
      <c r="N297" s="8"/>
      <c r="O297" s="8"/>
      <c r="P297" s="8"/>
      <c r="Q297" s="8"/>
      <c r="R297" s="8"/>
      <c r="S297" s="8"/>
      <c r="T297" s="8"/>
    </row>
    <row r="298" spans="1:20" x14ac:dyDescent="0.25">
      <c r="A298" s="7">
        <v>348</v>
      </c>
      <c r="B298" s="7" t="s">
        <v>1554</v>
      </c>
      <c r="C298" s="7" t="s">
        <v>145</v>
      </c>
      <c r="D298" s="7" t="s">
        <v>146</v>
      </c>
      <c r="E298" s="7" t="s">
        <v>1555</v>
      </c>
      <c r="F298" s="7" t="s">
        <v>1556</v>
      </c>
      <c r="G298" s="7" t="s">
        <v>171</v>
      </c>
      <c r="H298" s="7" t="s">
        <v>150</v>
      </c>
      <c r="I298" s="7" t="s">
        <v>1557</v>
      </c>
      <c r="J298" s="7" t="s">
        <v>1558</v>
      </c>
      <c r="K298" s="7" t="s">
        <v>153</v>
      </c>
      <c r="L298" s="7" t="s">
        <v>621</v>
      </c>
      <c r="M298" s="7" t="s">
        <v>145</v>
      </c>
      <c r="N298" s="8"/>
      <c r="O298" s="8"/>
      <c r="P298" s="8"/>
      <c r="Q298" s="8"/>
      <c r="R298" s="8"/>
      <c r="S298" s="8"/>
      <c r="T298" s="8"/>
    </row>
    <row r="299" spans="1:20" x14ac:dyDescent="0.25">
      <c r="A299">
        <v>776</v>
      </c>
      <c r="B299" t="s">
        <v>1559</v>
      </c>
      <c r="C299" t="s">
        <v>145</v>
      </c>
      <c r="D299" t="s">
        <v>145</v>
      </c>
      <c r="E299" t="s">
        <v>1560</v>
      </c>
      <c r="F299" t="s">
        <v>1561</v>
      </c>
      <c r="G299" t="s">
        <v>149</v>
      </c>
      <c r="H299" t="s">
        <v>150</v>
      </c>
      <c r="I299" t="s">
        <v>1562</v>
      </c>
      <c r="J299" t="s">
        <v>1563</v>
      </c>
      <c r="K299" t="s">
        <v>153</v>
      </c>
      <c r="L299" t="s">
        <v>154</v>
      </c>
      <c r="M299" t="s">
        <v>162</v>
      </c>
      <c r="N299" s="8"/>
      <c r="O299" s="8"/>
      <c r="P299" s="8"/>
      <c r="Q299" s="8"/>
      <c r="R299" s="8"/>
      <c r="S299" s="8"/>
      <c r="T299" s="8"/>
    </row>
    <row r="300" spans="1:20" x14ac:dyDescent="0.25">
      <c r="A300" s="7">
        <v>835</v>
      </c>
      <c r="B300" s="7" t="s">
        <v>1564</v>
      </c>
      <c r="C300" s="7" t="s">
        <v>145</v>
      </c>
      <c r="D300" s="7" t="s">
        <v>145</v>
      </c>
      <c r="E300" s="7" t="s">
        <v>1565</v>
      </c>
      <c r="F300" s="7" t="s">
        <v>1566</v>
      </c>
      <c r="G300" s="7" t="s">
        <v>851</v>
      </c>
      <c r="H300" s="7" t="s">
        <v>150</v>
      </c>
      <c r="I300" s="7" t="s">
        <v>1567</v>
      </c>
      <c r="J300" s="7"/>
      <c r="K300" s="7" t="s">
        <v>153</v>
      </c>
      <c r="L300" s="7" t="s">
        <v>154</v>
      </c>
      <c r="M300" s="7" t="s">
        <v>162</v>
      </c>
      <c r="N300" s="8"/>
      <c r="O300" s="8"/>
      <c r="P300" s="8"/>
      <c r="Q300" s="8"/>
      <c r="R300" s="8"/>
      <c r="S300" s="8"/>
      <c r="T300" s="8"/>
    </row>
    <row r="301" spans="1:20" x14ac:dyDescent="0.25">
      <c r="A301">
        <v>606</v>
      </c>
      <c r="B301" t="s">
        <v>1568</v>
      </c>
      <c r="C301" t="s">
        <v>145</v>
      </c>
      <c r="D301" t="s">
        <v>417</v>
      </c>
      <c r="E301" t="s">
        <v>1569</v>
      </c>
      <c r="F301" t="s">
        <v>1570</v>
      </c>
      <c r="G301" t="s">
        <v>183</v>
      </c>
      <c r="H301" t="s">
        <v>150</v>
      </c>
      <c r="I301" t="s">
        <v>1571</v>
      </c>
      <c r="J301" t="s">
        <v>1572</v>
      </c>
      <c r="K301" t="s">
        <v>153</v>
      </c>
      <c r="L301" t="s">
        <v>154</v>
      </c>
      <c r="M301" t="s">
        <v>162</v>
      </c>
      <c r="N301" s="8"/>
      <c r="O301" s="8"/>
      <c r="P301" s="8"/>
      <c r="Q301" s="8"/>
      <c r="R301" s="8"/>
      <c r="S301" s="8"/>
      <c r="T301" s="8"/>
    </row>
    <row r="302" spans="1:20" x14ac:dyDescent="0.25">
      <c r="A302" s="7">
        <v>785</v>
      </c>
      <c r="B302" s="7" t="s">
        <v>1573</v>
      </c>
      <c r="C302" s="7" t="s">
        <v>145</v>
      </c>
      <c r="D302" s="7" t="s">
        <v>146</v>
      </c>
      <c r="E302" s="7" t="s">
        <v>1574</v>
      </c>
      <c r="F302" s="7" t="s">
        <v>1575</v>
      </c>
      <c r="G302" s="7" t="s">
        <v>149</v>
      </c>
      <c r="H302" s="7" t="s">
        <v>150</v>
      </c>
      <c r="I302" s="7" t="s">
        <v>1576</v>
      </c>
      <c r="J302" s="7" t="s">
        <v>760</v>
      </c>
      <c r="K302" s="7" t="s">
        <v>153</v>
      </c>
      <c r="L302" s="7" t="s">
        <v>85</v>
      </c>
      <c r="M302" s="7" t="s">
        <v>162</v>
      </c>
      <c r="N302" s="8"/>
      <c r="O302" s="8"/>
      <c r="P302" s="8"/>
      <c r="Q302" s="8"/>
      <c r="R302" s="8"/>
      <c r="S302" s="8"/>
      <c r="T302" s="8"/>
    </row>
    <row r="303" spans="1:20" x14ac:dyDescent="0.25">
      <c r="A303">
        <v>883</v>
      </c>
      <c r="B303" t="s">
        <v>1577</v>
      </c>
      <c r="C303" t="s">
        <v>145</v>
      </c>
      <c r="D303" t="s">
        <v>145</v>
      </c>
      <c r="E303" t="s">
        <v>1577</v>
      </c>
      <c r="F303" t="s">
        <v>1578</v>
      </c>
      <c r="G303" t="s">
        <v>149</v>
      </c>
      <c r="H303" t="s">
        <v>150</v>
      </c>
      <c r="K303" t="s">
        <v>153</v>
      </c>
      <c r="L303" t="s">
        <v>154</v>
      </c>
      <c r="M303" t="s">
        <v>162</v>
      </c>
      <c r="N303" s="8"/>
      <c r="O303" s="8"/>
      <c r="P303" s="8"/>
      <c r="Q303" s="8"/>
      <c r="R303" s="8"/>
      <c r="S303" s="8"/>
      <c r="T303" s="8"/>
    </row>
    <row r="304" spans="1:20" x14ac:dyDescent="0.25">
      <c r="A304" s="7">
        <v>522</v>
      </c>
      <c r="B304" s="7" t="s">
        <v>1579</v>
      </c>
      <c r="C304" s="7" t="s">
        <v>145</v>
      </c>
      <c r="D304" s="7" t="s">
        <v>146</v>
      </c>
      <c r="E304" s="7" t="s">
        <v>1580</v>
      </c>
      <c r="F304" s="7" t="s">
        <v>1581</v>
      </c>
      <c r="G304" s="7" t="s">
        <v>183</v>
      </c>
      <c r="H304" s="7" t="s">
        <v>150</v>
      </c>
      <c r="I304" s="7" t="s">
        <v>1582</v>
      </c>
      <c r="J304" s="7" t="s">
        <v>1583</v>
      </c>
      <c r="K304" s="7" t="s">
        <v>153</v>
      </c>
      <c r="L304" s="7" t="s">
        <v>85</v>
      </c>
      <c r="M304" s="7" t="s">
        <v>145</v>
      </c>
      <c r="N304" s="8"/>
      <c r="O304" s="8"/>
      <c r="P304" s="8"/>
      <c r="Q304" s="8"/>
      <c r="R304" s="8"/>
      <c r="S304" s="8"/>
      <c r="T304" s="8"/>
    </row>
    <row r="305" spans="1:20" x14ac:dyDescent="0.25">
      <c r="A305">
        <v>748</v>
      </c>
      <c r="B305" t="s">
        <v>1584</v>
      </c>
      <c r="C305" t="s">
        <v>145</v>
      </c>
      <c r="D305" t="s">
        <v>1585</v>
      </c>
      <c r="E305" t="s">
        <v>1586</v>
      </c>
      <c r="F305" t="s">
        <v>1587</v>
      </c>
      <c r="G305" t="s">
        <v>183</v>
      </c>
      <c r="H305" t="s">
        <v>150</v>
      </c>
      <c r="I305" t="s">
        <v>1588</v>
      </c>
      <c r="J305" t="s">
        <v>1589</v>
      </c>
      <c r="K305" t="s">
        <v>153</v>
      </c>
      <c r="L305" t="s">
        <v>154</v>
      </c>
      <c r="M305" t="s">
        <v>162</v>
      </c>
      <c r="N305" s="8"/>
      <c r="O305" s="8"/>
      <c r="P305" s="8"/>
      <c r="Q305" s="8"/>
      <c r="R305" s="8"/>
      <c r="S305" s="8"/>
      <c r="T305" s="8"/>
    </row>
    <row r="306" spans="1:20" x14ac:dyDescent="0.25">
      <c r="A306" s="7">
        <v>423</v>
      </c>
      <c r="B306" s="7" t="s">
        <v>1590</v>
      </c>
      <c r="C306" s="7" t="s">
        <v>145</v>
      </c>
      <c r="D306" s="7" t="s">
        <v>146</v>
      </c>
      <c r="E306" s="7" t="s">
        <v>1591</v>
      </c>
      <c r="F306" s="7" t="s">
        <v>1592</v>
      </c>
      <c r="G306" s="7" t="s">
        <v>1593</v>
      </c>
      <c r="H306" s="7" t="s">
        <v>150</v>
      </c>
      <c r="I306" s="7" t="s">
        <v>1594</v>
      </c>
      <c r="J306" s="7" t="s">
        <v>1118</v>
      </c>
      <c r="K306" s="7" t="s">
        <v>153</v>
      </c>
      <c r="L306" s="7" t="s">
        <v>85</v>
      </c>
      <c r="M306" s="7" t="s">
        <v>145</v>
      </c>
      <c r="N306" s="8"/>
      <c r="O306" s="8"/>
      <c r="P306" s="8"/>
      <c r="Q306" s="8"/>
      <c r="R306" s="8"/>
      <c r="S306" s="8"/>
      <c r="T306" s="8"/>
    </row>
    <row r="307" spans="1:20" x14ac:dyDescent="0.25">
      <c r="A307">
        <v>388</v>
      </c>
      <c r="B307" t="s">
        <v>1595</v>
      </c>
      <c r="C307" t="s">
        <v>145</v>
      </c>
      <c r="D307" t="s">
        <v>639</v>
      </c>
      <c r="E307" t="s">
        <v>1596</v>
      </c>
      <c r="F307" t="s">
        <v>1597</v>
      </c>
      <c r="G307" t="s">
        <v>221</v>
      </c>
      <c r="H307" t="s">
        <v>150</v>
      </c>
      <c r="I307" t="s">
        <v>1598</v>
      </c>
      <c r="J307" t="s">
        <v>1599</v>
      </c>
      <c r="K307" t="s">
        <v>153</v>
      </c>
      <c r="L307" t="s">
        <v>154</v>
      </c>
      <c r="M307" t="s">
        <v>162</v>
      </c>
      <c r="N307" s="8"/>
      <c r="O307" s="8"/>
      <c r="P307" s="8"/>
      <c r="Q307" s="8"/>
      <c r="R307" s="8"/>
      <c r="S307" s="8"/>
      <c r="T307" s="8"/>
    </row>
    <row r="308" spans="1:20" x14ac:dyDescent="0.25">
      <c r="A308" s="7">
        <v>826</v>
      </c>
      <c r="B308" s="7" t="s">
        <v>1600</v>
      </c>
      <c r="C308" s="7" t="s">
        <v>145</v>
      </c>
      <c r="D308" s="7" t="s">
        <v>346</v>
      </c>
      <c r="E308" s="7" t="s">
        <v>1600</v>
      </c>
      <c r="F308" s="7" t="s">
        <v>1601</v>
      </c>
      <c r="G308" s="7" t="s">
        <v>1056</v>
      </c>
      <c r="H308" s="7" t="s">
        <v>150</v>
      </c>
      <c r="I308" s="7" t="s">
        <v>1602</v>
      </c>
      <c r="J308" s="7" t="s">
        <v>1603</v>
      </c>
      <c r="K308" s="7" t="s">
        <v>153</v>
      </c>
      <c r="L308" s="7" t="s">
        <v>154</v>
      </c>
      <c r="M308" s="7" t="s">
        <v>162</v>
      </c>
      <c r="N308" s="8"/>
      <c r="O308" s="8"/>
      <c r="P308" s="8"/>
      <c r="Q308" s="8"/>
      <c r="R308" s="8"/>
      <c r="S308" s="8"/>
      <c r="T308" s="8"/>
    </row>
    <row r="309" spans="1:20" x14ac:dyDescent="0.25">
      <c r="A309">
        <v>621</v>
      </c>
      <c r="B309" t="s">
        <v>1604</v>
      </c>
      <c r="C309" t="s">
        <v>145</v>
      </c>
      <c r="D309" t="s">
        <v>346</v>
      </c>
      <c r="E309" t="s">
        <v>1605</v>
      </c>
      <c r="F309" t="s">
        <v>1606</v>
      </c>
      <c r="G309" t="s">
        <v>149</v>
      </c>
      <c r="H309" t="s">
        <v>150</v>
      </c>
      <c r="I309" t="s">
        <v>1607</v>
      </c>
      <c r="J309" t="s">
        <v>1608</v>
      </c>
      <c r="K309" t="s">
        <v>153</v>
      </c>
      <c r="L309" t="s">
        <v>154</v>
      </c>
      <c r="M309" t="s">
        <v>145</v>
      </c>
      <c r="N309" s="8"/>
      <c r="O309" s="8"/>
      <c r="P309" s="8"/>
      <c r="Q309" s="8"/>
      <c r="R309" s="8"/>
      <c r="S309" s="8"/>
      <c r="T309" s="8"/>
    </row>
    <row r="310" spans="1:20" x14ac:dyDescent="0.25">
      <c r="A310" s="7">
        <v>529</v>
      </c>
      <c r="B310" s="7" t="s">
        <v>1609</v>
      </c>
      <c r="C310" s="7" t="s">
        <v>145</v>
      </c>
      <c r="D310" s="7" t="s">
        <v>1450</v>
      </c>
      <c r="E310" s="7" t="s">
        <v>1610</v>
      </c>
      <c r="F310" s="7" t="s">
        <v>1611</v>
      </c>
      <c r="G310" s="7" t="s">
        <v>183</v>
      </c>
      <c r="H310" s="7" t="s">
        <v>150</v>
      </c>
      <c r="I310" s="7" t="s">
        <v>1612</v>
      </c>
      <c r="J310" s="7" t="s">
        <v>1613</v>
      </c>
      <c r="K310" s="7" t="s">
        <v>153</v>
      </c>
      <c r="L310" s="7" t="s">
        <v>154</v>
      </c>
      <c r="M310" s="7" t="s">
        <v>145</v>
      </c>
      <c r="N310" s="8"/>
      <c r="O310" s="8"/>
      <c r="P310" s="8"/>
      <c r="Q310" s="8"/>
      <c r="R310" s="8"/>
      <c r="S310" s="8"/>
      <c r="T310" s="8"/>
    </row>
    <row r="311" spans="1:20" x14ac:dyDescent="0.25">
      <c r="A311">
        <v>577</v>
      </c>
      <c r="B311" t="s">
        <v>1614</v>
      </c>
      <c r="C311" t="s">
        <v>1615</v>
      </c>
      <c r="D311" t="s">
        <v>304</v>
      </c>
      <c r="E311" t="s">
        <v>1616</v>
      </c>
      <c r="F311" t="s">
        <v>1617</v>
      </c>
      <c r="G311" t="s">
        <v>1237</v>
      </c>
      <c r="H311" t="s">
        <v>150</v>
      </c>
      <c r="I311" t="s">
        <v>1618</v>
      </c>
      <c r="J311" t="s">
        <v>1619</v>
      </c>
      <c r="K311" t="s">
        <v>153</v>
      </c>
      <c r="L311" t="s">
        <v>154</v>
      </c>
      <c r="M311" t="s">
        <v>162</v>
      </c>
      <c r="N311" s="8"/>
      <c r="O311" s="8"/>
      <c r="P311" s="8"/>
      <c r="Q311" s="8"/>
      <c r="R311" s="8"/>
      <c r="S311" s="8"/>
      <c r="T311" s="8"/>
    </row>
    <row r="312" spans="1:20" x14ac:dyDescent="0.25">
      <c r="A312" s="7">
        <v>581</v>
      </c>
      <c r="B312" s="7" t="s">
        <v>1620</v>
      </c>
      <c r="C312" s="7" t="s">
        <v>145</v>
      </c>
      <c r="D312" s="7" t="s">
        <v>146</v>
      </c>
      <c r="E312" s="7" t="s">
        <v>1621</v>
      </c>
      <c r="F312" s="7" t="s">
        <v>1622</v>
      </c>
      <c r="G312" s="7" t="s">
        <v>198</v>
      </c>
      <c r="H312" s="7" t="s">
        <v>150</v>
      </c>
      <c r="I312" s="7" t="s">
        <v>1623</v>
      </c>
      <c r="J312" s="7" t="s">
        <v>1624</v>
      </c>
      <c r="K312" s="7" t="s">
        <v>153</v>
      </c>
      <c r="L312" s="7" t="s">
        <v>85</v>
      </c>
      <c r="M312" s="7" t="s">
        <v>145</v>
      </c>
      <c r="N312" s="8"/>
      <c r="O312" s="8"/>
      <c r="P312" s="8"/>
      <c r="Q312" s="8"/>
      <c r="R312" s="8"/>
      <c r="S312" s="8"/>
      <c r="T312" s="8"/>
    </row>
    <row r="313" spans="1:20" x14ac:dyDescent="0.25">
      <c r="A313">
        <v>845</v>
      </c>
      <c r="B313" t="s">
        <v>1625</v>
      </c>
      <c r="C313" t="s">
        <v>145</v>
      </c>
      <c r="D313" t="s">
        <v>145</v>
      </c>
      <c r="E313" t="s">
        <v>1626</v>
      </c>
      <c r="F313" t="s">
        <v>1627</v>
      </c>
      <c r="G313" t="s">
        <v>1628</v>
      </c>
      <c r="H313" t="s">
        <v>150</v>
      </c>
      <c r="I313" t="s">
        <v>1629</v>
      </c>
      <c r="J313" t="s">
        <v>1630</v>
      </c>
      <c r="K313" t="s">
        <v>153</v>
      </c>
      <c r="L313" t="s">
        <v>154</v>
      </c>
      <c r="M313" t="s">
        <v>162</v>
      </c>
      <c r="N313" s="8"/>
      <c r="O313" s="8"/>
      <c r="P313" s="8"/>
      <c r="Q313" s="8"/>
      <c r="R313" s="8"/>
      <c r="S313" s="8"/>
      <c r="T313" s="8"/>
    </row>
    <row r="314" spans="1:20" x14ac:dyDescent="0.25">
      <c r="A314" s="7">
        <v>521</v>
      </c>
      <c r="B314" s="7" t="s">
        <v>1631</v>
      </c>
      <c r="C314" s="7" t="s">
        <v>145</v>
      </c>
      <c r="D314" s="7" t="s">
        <v>146</v>
      </c>
      <c r="E314" s="7" t="s">
        <v>1632</v>
      </c>
      <c r="F314" s="7" t="s">
        <v>1633</v>
      </c>
      <c r="G314" s="7" t="s">
        <v>667</v>
      </c>
      <c r="H314" s="7" t="s">
        <v>150</v>
      </c>
      <c r="I314" s="7" t="s">
        <v>1634</v>
      </c>
      <c r="J314" s="7" t="s">
        <v>1635</v>
      </c>
      <c r="K314" s="7" t="s">
        <v>153</v>
      </c>
      <c r="L314" s="7" t="s">
        <v>85</v>
      </c>
      <c r="M314" s="7" t="s">
        <v>145</v>
      </c>
      <c r="N314" s="8"/>
      <c r="O314" s="8"/>
      <c r="P314" s="8"/>
      <c r="Q314" s="8"/>
      <c r="R314" s="8"/>
      <c r="S314" s="8"/>
      <c r="T314" s="8"/>
    </row>
    <row r="315" spans="1:20" x14ac:dyDescent="0.25">
      <c r="A315">
        <v>851</v>
      </c>
      <c r="B315" t="s">
        <v>1636</v>
      </c>
      <c r="C315" t="s">
        <v>1637</v>
      </c>
      <c r="D315" t="s">
        <v>145</v>
      </c>
      <c r="E315" t="s">
        <v>1638</v>
      </c>
      <c r="F315" t="s">
        <v>1639</v>
      </c>
      <c r="G315" t="s">
        <v>1640</v>
      </c>
      <c r="H315" t="s">
        <v>150</v>
      </c>
      <c r="I315" t="s">
        <v>1641</v>
      </c>
      <c r="J315" t="s">
        <v>1642</v>
      </c>
      <c r="K315" t="s">
        <v>153</v>
      </c>
      <c r="L315" t="s">
        <v>154</v>
      </c>
      <c r="M315" t="s">
        <v>162</v>
      </c>
      <c r="N315" s="8"/>
      <c r="O315" s="8"/>
      <c r="P315" s="8"/>
      <c r="Q315" s="8"/>
      <c r="R315" s="8"/>
      <c r="S315" s="8"/>
      <c r="T315" s="8"/>
    </row>
    <row r="316" spans="1:20" x14ac:dyDescent="0.25">
      <c r="A316" s="7">
        <v>874</v>
      </c>
      <c r="B316" s="7" t="s">
        <v>1643</v>
      </c>
      <c r="C316" s="7" t="s">
        <v>1637</v>
      </c>
      <c r="D316" s="7" t="s">
        <v>145</v>
      </c>
      <c r="E316" s="7" t="s">
        <v>1638</v>
      </c>
      <c r="F316" s="7" t="s">
        <v>1644</v>
      </c>
      <c r="G316" s="7" t="s">
        <v>1645</v>
      </c>
      <c r="H316" s="7" t="s">
        <v>150</v>
      </c>
      <c r="I316" s="7" t="s">
        <v>1646</v>
      </c>
      <c r="J316" s="7" t="s">
        <v>1642</v>
      </c>
      <c r="K316" s="7" t="s">
        <v>153</v>
      </c>
      <c r="L316" s="7" t="s">
        <v>154</v>
      </c>
      <c r="M316" s="7" t="s">
        <v>162</v>
      </c>
      <c r="N316" s="8"/>
      <c r="O316" s="8"/>
      <c r="P316" s="8"/>
      <c r="Q316" s="8"/>
      <c r="R316" s="8"/>
      <c r="S316" s="8"/>
      <c r="T316" s="8"/>
    </row>
    <row r="317" spans="1:20" x14ac:dyDescent="0.25">
      <c r="A317">
        <v>875</v>
      </c>
      <c r="B317" t="s">
        <v>1647</v>
      </c>
      <c r="C317" t="s">
        <v>1637</v>
      </c>
      <c r="D317" t="s">
        <v>145</v>
      </c>
      <c r="E317" t="s">
        <v>1638</v>
      </c>
      <c r="F317" t="s">
        <v>1648</v>
      </c>
      <c r="G317" t="s">
        <v>1649</v>
      </c>
      <c r="H317" t="s">
        <v>150</v>
      </c>
      <c r="I317" t="s">
        <v>1646</v>
      </c>
      <c r="J317" t="s">
        <v>1642</v>
      </c>
      <c r="K317" t="s">
        <v>153</v>
      </c>
      <c r="L317" t="s">
        <v>154</v>
      </c>
      <c r="M317" t="s">
        <v>145</v>
      </c>
      <c r="N317" s="8"/>
      <c r="O317" s="8"/>
      <c r="P317" s="8"/>
      <c r="Q317" s="8"/>
      <c r="R317" s="8"/>
      <c r="S317" s="8"/>
      <c r="T317" s="8"/>
    </row>
    <row r="318" spans="1:20" x14ac:dyDescent="0.25">
      <c r="A318" s="7">
        <v>829</v>
      </c>
      <c r="B318" s="7" t="s">
        <v>1650</v>
      </c>
      <c r="C318" s="7" t="s">
        <v>1637</v>
      </c>
      <c r="D318" s="7" t="s">
        <v>145</v>
      </c>
      <c r="E318" s="7" t="s">
        <v>1638</v>
      </c>
      <c r="F318" s="7" t="s">
        <v>1651</v>
      </c>
      <c r="G318" s="7" t="s">
        <v>1652</v>
      </c>
      <c r="H318" s="7" t="s">
        <v>150</v>
      </c>
      <c r="I318" s="7"/>
      <c r="J318" s="7"/>
      <c r="K318" s="7" t="s">
        <v>153</v>
      </c>
      <c r="L318" s="7" t="s">
        <v>154</v>
      </c>
      <c r="M318" s="7" t="s">
        <v>162</v>
      </c>
      <c r="N318" s="8"/>
      <c r="O318" s="8"/>
      <c r="P318" s="8"/>
      <c r="Q318" s="8"/>
      <c r="R318" s="8"/>
      <c r="S318" s="8"/>
      <c r="T318" s="8"/>
    </row>
    <row r="319" spans="1:20" x14ac:dyDescent="0.25">
      <c r="A319">
        <v>828</v>
      </c>
      <c r="B319" t="s">
        <v>1653</v>
      </c>
      <c r="C319" t="s">
        <v>1637</v>
      </c>
      <c r="D319" t="s">
        <v>145</v>
      </c>
      <c r="E319" t="s">
        <v>1638</v>
      </c>
      <c r="F319" t="s">
        <v>1654</v>
      </c>
      <c r="G319" t="s">
        <v>1649</v>
      </c>
      <c r="H319" t="s">
        <v>150</v>
      </c>
      <c r="K319" t="s">
        <v>153</v>
      </c>
      <c r="L319" t="s">
        <v>154</v>
      </c>
      <c r="M319" t="s">
        <v>162</v>
      </c>
      <c r="N319" s="8"/>
      <c r="O319" s="8"/>
      <c r="P319" s="8"/>
      <c r="Q319" s="8"/>
      <c r="R319" s="8"/>
      <c r="S319" s="8"/>
      <c r="T319" s="8"/>
    </row>
    <row r="320" spans="1:20" x14ac:dyDescent="0.25">
      <c r="A320" s="7">
        <v>831</v>
      </c>
      <c r="B320" s="7" t="s">
        <v>1655</v>
      </c>
      <c r="C320" s="7" t="s">
        <v>1637</v>
      </c>
      <c r="D320" s="7" t="s">
        <v>145</v>
      </c>
      <c r="E320" s="7" t="s">
        <v>1638</v>
      </c>
      <c r="F320" s="7" t="s">
        <v>1656</v>
      </c>
      <c r="G320" s="7" t="s">
        <v>1640</v>
      </c>
      <c r="H320" s="7" t="s">
        <v>150</v>
      </c>
      <c r="I320" s="7" t="s">
        <v>1646</v>
      </c>
      <c r="J320" s="7" t="s">
        <v>1642</v>
      </c>
      <c r="K320" s="7" t="s">
        <v>153</v>
      </c>
      <c r="L320" s="7" t="s">
        <v>154</v>
      </c>
      <c r="M320" s="7" t="s">
        <v>162</v>
      </c>
      <c r="N320" s="8"/>
      <c r="O320" s="8"/>
      <c r="P320" s="8"/>
      <c r="Q320" s="8"/>
      <c r="R320" s="8"/>
      <c r="S320" s="8"/>
      <c r="T320" s="8"/>
    </row>
    <row r="321" spans="1:20" x14ac:dyDescent="0.25">
      <c r="A321">
        <v>830</v>
      </c>
      <c r="B321" t="s">
        <v>1657</v>
      </c>
      <c r="C321" t="s">
        <v>1637</v>
      </c>
      <c r="D321" t="s">
        <v>145</v>
      </c>
      <c r="E321" t="s">
        <v>1638</v>
      </c>
      <c r="F321" t="s">
        <v>1658</v>
      </c>
      <c r="G321" t="s">
        <v>1640</v>
      </c>
      <c r="H321" t="s">
        <v>150</v>
      </c>
      <c r="I321" t="s">
        <v>1659</v>
      </c>
      <c r="J321" t="s">
        <v>1642</v>
      </c>
      <c r="K321" t="s">
        <v>153</v>
      </c>
      <c r="L321" t="s">
        <v>154</v>
      </c>
      <c r="M321" t="s">
        <v>162</v>
      </c>
      <c r="N321" s="8"/>
      <c r="O321" s="8"/>
      <c r="P321" s="8"/>
      <c r="Q321" s="8"/>
      <c r="R321" s="8"/>
      <c r="S321" s="8"/>
      <c r="T321" s="8"/>
    </row>
    <row r="322" spans="1:20" x14ac:dyDescent="0.25">
      <c r="A322" s="7">
        <v>789</v>
      </c>
      <c r="B322" s="7" t="s">
        <v>1660</v>
      </c>
      <c r="C322" s="7" t="s">
        <v>1661</v>
      </c>
      <c r="D322" s="7" t="s">
        <v>145</v>
      </c>
      <c r="E322" s="7" t="s">
        <v>1662</v>
      </c>
      <c r="F322" s="7" t="s">
        <v>1663</v>
      </c>
      <c r="G322" s="7" t="s">
        <v>603</v>
      </c>
      <c r="H322" s="7" t="s">
        <v>150</v>
      </c>
      <c r="I322" s="7" t="s">
        <v>1664</v>
      </c>
      <c r="J322" s="7" t="s">
        <v>1665</v>
      </c>
      <c r="K322" s="7" t="s">
        <v>153</v>
      </c>
      <c r="L322" s="7" t="s">
        <v>154</v>
      </c>
      <c r="M322" s="7" t="s">
        <v>162</v>
      </c>
      <c r="N322" s="8"/>
      <c r="O322" s="8"/>
      <c r="P322" s="8"/>
      <c r="Q322" s="8"/>
      <c r="R322" s="8"/>
      <c r="S322" s="8"/>
      <c r="T322" s="8"/>
    </row>
    <row r="323" spans="1:20" x14ac:dyDescent="0.25">
      <c r="A323">
        <v>751</v>
      </c>
      <c r="B323" t="s">
        <v>1666</v>
      </c>
      <c r="C323" t="s">
        <v>1661</v>
      </c>
      <c r="D323" t="s">
        <v>46</v>
      </c>
      <c r="E323" t="s">
        <v>1662</v>
      </c>
      <c r="F323" t="s">
        <v>1667</v>
      </c>
      <c r="G323" t="s">
        <v>149</v>
      </c>
      <c r="H323" t="s">
        <v>150</v>
      </c>
      <c r="I323" t="s">
        <v>1664</v>
      </c>
      <c r="J323" t="s">
        <v>1665</v>
      </c>
      <c r="K323" t="s">
        <v>153</v>
      </c>
      <c r="L323" t="s">
        <v>85</v>
      </c>
      <c r="M323" t="s">
        <v>162</v>
      </c>
      <c r="N323" s="8"/>
      <c r="O323" s="8"/>
      <c r="P323" s="8"/>
      <c r="Q323" s="8"/>
      <c r="R323" s="8"/>
      <c r="S323" s="8"/>
      <c r="T323" s="8"/>
    </row>
    <row r="324" spans="1:20" x14ac:dyDescent="0.25">
      <c r="A324" s="7">
        <v>641</v>
      </c>
      <c r="B324" s="7" t="s">
        <v>1668</v>
      </c>
      <c r="C324" s="7" t="s">
        <v>145</v>
      </c>
      <c r="D324" s="7" t="s">
        <v>1669</v>
      </c>
      <c r="E324" s="7" t="s">
        <v>1670</v>
      </c>
      <c r="F324" s="7" t="s">
        <v>1671</v>
      </c>
      <c r="G324" s="7"/>
      <c r="H324" s="7" t="s">
        <v>150</v>
      </c>
      <c r="I324" s="7" t="s">
        <v>1672</v>
      </c>
      <c r="J324" s="7" t="s">
        <v>1673</v>
      </c>
      <c r="K324" s="7" t="s">
        <v>153</v>
      </c>
      <c r="L324" s="7" t="s">
        <v>154</v>
      </c>
      <c r="M324" s="7" t="s">
        <v>162</v>
      </c>
      <c r="N324" s="8"/>
      <c r="O324" s="8"/>
      <c r="P324" s="8"/>
      <c r="Q324" s="8"/>
      <c r="R324" s="8"/>
      <c r="S324" s="8"/>
      <c r="T324" s="8"/>
    </row>
    <row r="325" spans="1:20" x14ac:dyDescent="0.25">
      <c r="A325">
        <v>556</v>
      </c>
      <c r="B325" t="s">
        <v>1674</v>
      </c>
      <c r="C325" t="s">
        <v>145</v>
      </c>
      <c r="D325" t="s">
        <v>146</v>
      </c>
      <c r="E325" t="s">
        <v>1675</v>
      </c>
      <c r="F325" t="s">
        <v>1676</v>
      </c>
      <c r="G325" t="s">
        <v>1677</v>
      </c>
      <c r="H325" t="s">
        <v>150</v>
      </c>
      <c r="I325" t="s">
        <v>1678</v>
      </c>
      <c r="J325" t="s">
        <v>1679</v>
      </c>
      <c r="K325" t="s">
        <v>153</v>
      </c>
      <c r="L325" t="s">
        <v>85</v>
      </c>
      <c r="M325" t="s">
        <v>145</v>
      </c>
      <c r="N325" s="8"/>
      <c r="O325" s="8"/>
      <c r="P325" s="8"/>
      <c r="Q325" s="8"/>
      <c r="R325" s="8"/>
      <c r="S325" s="8"/>
      <c r="T325" s="8"/>
    </row>
    <row r="326" spans="1:20" x14ac:dyDescent="0.25">
      <c r="A326" s="7">
        <v>583</v>
      </c>
      <c r="B326" s="7" t="s">
        <v>1674</v>
      </c>
      <c r="C326" s="7" t="s">
        <v>145</v>
      </c>
      <c r="D326" s="7" t="s">
        <v>146</v>
      </c>
      <c r="E326" s="7" t="s">
        <v>1680</v>
      </c>
      <c r="F326" s="7" t="s">
        <v>1681</v>
      </c>
      <c r="G326" s="7" t="s">
        <v>1506</v>
      </c>
      <c r="H326" s="7" t="s">
        <v>215</v>
      </c>
      <c r="I326" s="7" t="s">
        <v>1682</v>
      </c>
      <c r="J326" s="7" t="s">
        <v>1679</v>
      </c>
      <c r="K326" s="7" t="s">
        <v>153</v>
      </c>
      <c r="L326" s="7" t="s">
        <v>154</v>
      </c>
      <c r="M326" s="7" t="s">
        <v>145</v>
      </c>
      <c r="N326" s="8"/>
      <c r="O326" s="8"/>
      <c r="P326" s="8"/>
      <c r="Q326" s="8"/>
      <c r="R326" s="8"/>
      <c r="S326" s="8"/>
      <c r="T326" s="8"/>
    </row>
    <row r="327" spans="1:20" x14ac:dyDescent="0.25">
      <c r="A327">
        <v>528</v>
      </c>
      <c r="B327" t="s">
        <v>1683</v>
      </c>
      <c r="C327" t="s">
        <v>145</v>
      </c>
      <c r="D327" t="s">
        <v>146</v>
      </c>
      <c r="E327" t="s">
        <v>1684</v>
      </c>
      <c r="F327" t="s">
        <v>1685</v>
      </c>
      <c r="G327" t="s">
        <v>183</v>
      </c>
      <c r="H327" t="s">
        <v>150</v>
      </c>
      <c r="I327" t="s">
        <v>1686</v>
      </c>
      <c r="J327" t="s">
        <v>1687</v>
      </c>
      <c r="K327" t="s">
        <v>153</v>
      </c>
      <c r="L327" t="s">
        <v>85</v>
      </c>
      <c r="M327" t="s">
        <v>145</v>
      </c>
      <c r="N327" s="8"/>
      <c r="O327" s="8"/>
      <c r="P327" s="8"/>
      <c r="Q327" s="8"/>
      <c r="R327" s="8"/>
      <c r="S327" s="8"/>
      <c r="T327" s="8"/>
    </row>
    <row r="328" spans="1:20" x14ac:dyDescent="0.25">
      <c r="A328" s="7">
        <v>562</v>
      </c>
      <c r="B328" s="7" t="s">
        <v>1688</v>
      </c>
      <c r="C328" s="7" t="s">
        <v>145</v>
      </c>
      <c r="D328" s="7" t="s">
        <v>146</v>
      </c>
      <c r="E328" s="7" t="s">
        <v>1689</v>
      </c>
      <c r="F328" s="7" t="s">
        <v>1690</v>
      </c>
      <c r="G328" s="7" t="s">
        <v>1691</v>
      </c>
      <c r="H328" s="7" t="s">
        <v>150</v>
      </c>
      <c r="I328" s="7" t="s">
        <v>1692</v>
      </c>
      <c r="J328" s="7" t="s">
        <v>1693</v>
      </c>
      <c r="K328" s="7" t="s">
        <v>153</v>
      </c>
      <c r="L328" s="7" t="s">
        <v>154</v>
      </c>
      <c r="M328" s="7" t="s">
        <v>145</v>
      </c>
      <c r="N328" s="8"/>
      <c r="O328" s="8"/>
      <c r="P328" s="8"/>
      <c r="Q328" s="8"/>
      <c r="R328" s="8"/>
      <c r="S328" s="8"/>
      <c r="T328" s="8"/>
    </row>
    <row r="329" spans="1:20" x14ac:dyDescent="0.25">
      <c r="A329">
        <v>442</v>
      </c>
      <c r="B329" t="s">
        <v>1694</v>
      </c>
      <c r="C329" t="s">
        <v>145</v>
      </c>
      <c r="D329" t="s">
        <v>639</v>
      </c>
      <c r="E329" t="s">
        <v>1695</v>
      </c>
      <c r="F329" t="s">
        <v>1696</v>
      </c>
      <c r="G329" t="s">
        <v>198</v>
      </c>
      <c r="H329" t="s">
        <v>150</v>
      </c>
      <c r="I329" t="s">
        <v>1697</v>
      </c>
      <c r="J329" t="s">
        <v>1698</v>
      </c>
      <c r="K329" t="s">
        <v>153</v>
      </c>
      <c r="L329" t="s">
        <v>154</v>
      </c>
      <c r="M329" t="s">
        <v>162</v>
      </c>
      <c r="N329" s="8"/>
      <c r="O329" s="8"/>
      <c r="P329" s="8"/>
      <c r="Q329" s="8"/>
      <c r="R329" s="8"/>
      <c r="S329" s="8"/>
      <c r="T329" s="8"/>
    </row>
    <row r="330" spans="1:20" x14ac:dyDescent="0.25">
      <c r="A330" s="7">
        <v>637</v>
      </c>
      <c r="B330" s="7" t="s">
        <v>1699</v>
      </c>
      <c r="C330" s="7" t="s">
        <v>145</v>
      </c>
      <c r="D330" s="7" t="s">
        <v>287</v>
      </c>
      <c r="E330" s="7" t="s">
        <v>1700</v>
      </c>
      <c r="F330" s="7" t="s">
        <v>1701</v>
      </c>
      <c r="G330" s="7" t="s">
        <v>1056</v>
      </c>
      <c r="H330" s="7" t="s">
        <v>150</v>
      </c>
      <c r="I330" s="7" t="s">
        <v>1702</v>
      </c>
      <c r="J330" s="7" t="s">
        <v>1703</v>
      </c>
      <c r="K330" s="7" t="s">
        <v>153</v>
      </c>
      <c r="L330" s="7" t="s">
        <v>85</v>
      </c>
      <c r="M330" s="7" t="s">
        <v>162</v>
      </c>
      <c r="N330" s="8"/>
      <c r="O330" s="8"/>
      <c r="P330" s="8"/>
      <c r="Q330" s="8"/>
      <c r="R330" s="8"/>
      <c r="S330" s="8"/>
      <c r="T330" s="8"/>
    </row>
    <row r="331" spans="1:20" x14ac:dyDescent="0.25">
      <c r="A331">
        <v>368</v>
      </c>
      <c r="B331" t="s">
        <v>1704</v>
      </c>
      <c r="C331" t="s">
        <v>1705</v>
      </c>
      <c r="D331" t="s">
        <v>304</v>
      </c>
      <c r="E331" t="s">
        <v>1706</v>
      </c>
      <c r="F331" t="s">
        <v>1707</v>
      </c>
      <c r="G331" t="s">
        <v>868</v>
      </c>
      <c r="H331" t="s">
        <v>150</v>
      </c>
      <c r="I331" t="s">
        <v>1708</v>
      </c>
      <c r="J331" t="s">
        <v>1709</v>
      </c>
      <c r="K331" t="s">
        <v>153</v>
      </c>
      <c r="L331" t="s">
        <v>85</v>
      </c>
      <c r="M331" t="s">
        <v>145</v>
      </c>
      <c r="N331" s="8"/>
      <c r="O331" s="8"/>
      <c r="P331" s="8"/>
      <c r="Q331" s="8"/>
      <c r="R331" s="8"/>
      <c r="S331" s="8"/>
      <c r="T331" s="8"/>
    </row>
    <row r="332" spans="1:20" x14ac:dyDescent="0.25">
      <c r="A332" s="7">
        <v>367</v>
      </c>
      <c r="B332" s="7" t="s">
        <v>1710</v>
      </c>
      <c r="C332" s="7" t="s">
        <v>1705</v>
      </c>
      <c r="D332" s="7" t="s">
        <v>304</v>
      </c>
      <c r="E332" s="7" t="s">
        <v>1706</v>
      </c>
      <c r="F332" s="7" t="s">
        <v>1711</v>
      </c>
      <c r="G332" s="7" t="s">
        <v>868</v>
      </c>
      <c r="H332" s="7" t="s">
        <v>150</v>
      </c>
      <c r="I332" s="7" t="s">
        <v>1708</v>
      </c>
      <c r="J332" s="7" t="s">
        <v>1709</v>
      </c>
      <c r="K332" s="7" t="s">
        <v>153</v>
      </c>
      <c r="L332" s="7" t="s">
        <v>154</v>
      </c>
      <c r="M332" s="7" t="s">
        <v>162</v>
      </c>
      <c r="N332" s="8"/>
      <c r="O332" s="8"/>
      <c r="P332" s="8"/>
      <c r="Q332" s="8"/>
      <c r="R332" s="8"/>
      <c r="S332" s="8"/>
      <c r="T332" s="8"/>
    </row>
    <row r="333" spans="1:20" x14ac:dyDescent="0.25">
      <c r="A333">
        <v>455</v>
      </c>
      <c r="B333" t="s">
        <v>1712</v>
      </c>
      <c r="C333" t="s">
        <v>145</v>
      </c>
      <c r="D333" t="s">
        <v>146</v>
      </c>
      <c r="E333" t="s">
        <v>1713</v>
      </c>
      <c r="F333" t="s">
        <v>1714</v>
      </c>
      <c r="G333" t="s">
        <v>183</v>
      </c>
      <c r="H333" t="s">
        <v>150</v>
      </c>
      <c r="I333" t="s">
        <v>1715</v>
      </c>
      <c r="J333" t="s">
        <v>1716</v>
      </c>
      <c r="K333" t="s">
        <v>153</v>
      </c>
      <c r="L333" t="s">
        <v>85</v>
      </c>
      <c r="M333" t="s">
        <v>145</v>
      </c>
      <c r="N333" s="8"/>
      <c r="O333" s="8"/>
      <c r="P333" s="8"/>
      <c r="Q333" s="8"/>
      <c r="R333" s="8"/>
      <c r="S333" s="8"/>
      <c r="T333" s="8"/>
    </row>
    <row r="334" spans="1:20" x14ac:dyDescent="0.25">
      <c r="A334" s="7">
        <v>356</v>
      </c>
      <c r="B334" s="7" t="s">
        <v>1717</v>
      </c>
      <c r="C334" s="7" t="s">
        <v>145</v>
      </c>
      <c r="D334" s="7" t="s">
        <v>417</v>
      </c>
      <c r="E334" s="7" t="s">
        <v>1718</v>
      </c>
      <c r="F334" s="7" t="s">
        <v>1719</v>
      </c>
      <c r="G334" s="7" t="s">
        <v>868</v>
      </c>
      <c r="H334" s="7" t="s">
        <v>150</v>
      </c>
      <c r="I334" s="7" t="s">
        <v>1720</v>
      </c>
      <c r="J334" s="7" t="s">
        <v>1721</v>
      </c>
      <c r="K334" s="7" t="s">
        <v>153</v>
      </c>
      <c r="L334" s="7" t="s">
        <v>154</v>
      </c>
      <c r="M334" s="7" t="s">
        <v>145</v>
      </c>
      <c r="N334" s="8"/>
      <c r="O334" s="8"/>
      <c r="P334" s="8"/>
      <c r="Q334" s="8"/>
      <c r="R334" s="8"/>
      <c r="S334" s="8"/>
      <c r="T334" s="8"/>
    </row>
    <row r="335" spans="1:20" x14ac:dyDescent="0.25">
      <c r="A335">
        <v>890</v>
      </c>
      <c r="B335" t="s">
        <v>1722</v>
      </c>
      <c r="C335" t="s">
        <v>145</v>
      </c>
      <c r="D335" t="s">
        <v>145</v>
      </c>
      <c r="E335" t="s">
        <v>1723</v>
      </c>
      <c r="F335" t="s">
        <v>1724</v>
      </c>
      <c r="G335" t="s">
        <v>183</v>
      </c>
      <c r="H335" t="s">
        <v>150</v>
      </c>
      <c r="I335" t="s">
        <v>1725</v>
      </c>
      <c r="J335" t="s">
        <v>1726</v>
      </c>
      <c r="K335" t="s">
        <v>153</v>
      </c>
      <c r="L335" t="s">
        <v>85</v>
      </c>
      <c r="M335" t="s">
        <v>162</v>
      </c>
      <c r="N335" s="8"/>
      <c r="O335" s="8"/>
      <c r="P335" s="8"/>
      <c r="Q335" s="8"/>
      <c r="R335" s="8"/>
      <c r="S335" s="8"/>
      <c r="T335" s="8"/>
    </row>
    <row r="336" spans="1:20" x14ac:dyDescent="0.25">
      <c r="A336" s="7">
        <v>734</v>
      </c>
      <c r="B336" s="7" t="s">
        <v>1727</v>
      </c>
      <c r="C336" s="7" t="s">
        <v>595</v>
      </c>
      <c r="D336" s="7" t="s">
        <v>145</v>
      </c>
      <c r="E336" s="7" t="s">
        <v>596</v>
      </c>
      <c r="F336" s="7" t="s">
        <v>1728</v>
      </c>
      <c r="G336" s="7" t="s">
        <v>1729</v>
      </c>
      <c r="H336" s="7" t="s">
        <v>150</v>
      </c>
      <c r="I336" s="7" t="s">
        <v>1730</v>
      </c>
      <c r="J336" s="7"/>
      <c r="K336" s="7" t="s">
        <v>153</v>
      </c>
      <c r="L336" s="7" t="s">
        <v>154</v>
      </c>
      <c r="M336" s="7" t="s">
        <v>162</v>
      </c>
      <c r="N336" s="8"/>
      <c r="O336" s="8"/>
      <c r="P336" s="8"/>
      <c r="Q336" s="8"/>
      <c r="R336" s="8"/>
      <c r="S336" s="8"/>
      <c r="T336" s="8"/>
    </row>
    <row r="337" spans="1:20" x14ac:dyDescent="0.25">
      <c r="A337">
        <v>919</v>
      </c>
      <c r="B337" t="s">
        <v>1731</v>
      </c>
      <c r="C337" t="s">
        <v>595</v>
      </c>
      <c r="D337" t="s">
        <v>145</v>
      </c>
      <c r="E337" t="s">
        <v>596</v>
      </c>
      <c r="F337" t="s">
        <v>1732</v>
      </c>
      <c r="G337" t="s">
        <v>603</v>
      </c>
      <c r="H337" t="s">
        <v>150</v>
      </c>
      <c r="I337" t="s">
        <v>599</v>
      </c>
      <c r="J337" t="s">
        <v>600</v>
      </c>
      <c r="K337" t="s">
        <v>153</v>
      </c>
      <c r="L337" t="s">
        <v>85</v>
      </c>
      <c r="M337" t="s">
        <v>162</v>
      </c>
      <c r="N337" s="8"/>
      <c r="O337" s="8"/>
      <c r="P337" s="8"/>
      <c r="Q337" s="8"/>
      <c r="R337" s="8"/>
      <c r="S337" s="8"/>
      <c r="T337" s="8"/>
    </row>
    <row r="338" spans="1:20" x14ac:dyDescent="0.25">
      <c r="A338" s="7">
        <v>391</v>
      </c>
      <c r="B338" s="7" t="s">
        <v>1733</v>
      </c>
      <c r="C338" s="7" t="s">
        <v>1734</v>
      </c>
      <c r="D338" s="7" t="s">
        <v>304</v>
      </c>
      <c r="E338" s="7" t="s">
        <v>1735</v>
      </c>
      <c r="F338" s="7" t="s">
        <v>1736</v>
      </c>
      <c r="G338" s="7" t="s">
        <v>751</v>
      </c>
      <c r="H338" s="7" t="s">
        <v>150</v>
      </c>
      <c r="I338" s="7" t="s">
        <v>1737</v>
      </c>
      <c r="J338" s="7" t="s">
        <v>1738</v>
      </c>
      <c r="K338" s="7" t="s">
        <v>153</v>
      </c>
      <c r="L338" s="7" t="s">
        <v>85</v>
      </c>
      <c r="M338" s="7" t="s">
        <v>162</v>
      </c>
      <c r="N338" s="8"/>
      <c r="O338" s="8"/>
      <c r="P338" s="8"/>
      <c r="Q338" s="8"/>
      <c r="R338" s="8"/>
      <c r="S338" s="8"/>
      <c r="T338" s="8"/>
    </row>
    <row r="339" spans="1:20" x14ac:dyDescent="0.25">
      <c r="A339">
        <v>390</v>
      </c>
      <c r="B339" t="s">
        <v>1739</v>
      </c>
      <c r="C339" t="s">
        <v>1734</v>
      </c>
      <c r="D339" t="s">
        <v>304</v>
      </c>
      <c r="E339" t="s">
        <v>1735</v>
      </c>
      <c r="F339" t="s">
        <v>1740</v>
      </c>
      <c r="G339" t="s">
        <v>936</v>
      </c>
      <c r="H339" t="s">
        <v>150</v>
      </c>
      <c r="I339" t="s">
        <v>1737</v>
      </c>
      <c r="J339" t="s">
        <v>1738</v>
      </c>
      <c r="K339" t="s">
        <v>153</v>
      </c>
      <c r="L339" t="s">
        <v>154</v>
      </c>
      <c r="M339" t="s">
        <v>162</v>
      </c>
      <c r="N339" s="8"/>
      <c r="O339" s="8"/>
      <c r="P339" s="8"/>
      <c r="Q339" s="8"/>
      <c r="R339" s="8"/>
      <c r="S339" s="8"/>
      <c r="T339" s="8"/>
    </row>
    <row r="340" spans="1:20" x14ac:dyDescent="0.25">
      <c r="A340" s="7">
        <v>439</v>
      </c>
      <c r="B340" s="7" t="s">
        <v>1741</v>
      </c>
      <c r="C340" s="7" t="s">
        <v>1734</v>
      </c>
      <c r="D340" s="7" t="s">
        <v>304</v>
      </c>
      <c r="E340" s="7" t="s">
        <v>1742</v>
      </c>
      <c r="F340" s="7" t="s">
        <v>1743</v>
      </c>
      <c r="G340" s="7" t="s">
        <v>936</v>
      </c>
      <c r="H340" s="7" t="s">
        <v>150</v>
      </c>
      <c r="I340" s="7" t="s">
        <v>1737</v>
      </c>
      <c r="J340" s="7" t="s">
        <v>1744</v>
      </c>
      <c r="K340" s="7" t="s">
        <v>153</v>
      </c>
      <c r="L340" s="7" t="s">
        <v>154</v>
      </c>
      <c r="M340" s="7" t="s">
        <v>162</v>
      </c>
      <c r="N340" s="8"/>
      <c r="O340" s="8"/>
      <c r="P340" s="8"/>
      <c r="Q340" s="8"/>
      <c r="R340" s="8"/>
      <c r="S340" s="8"/>
      <c r="T340" s="8"/>
    </row>
    <row r="341" spans="1:20" x14ac:dyDescent="0.25">
      <c r="A341">
        <v>863</v>
      </c>
      <c r="B341" t="s">
        <v>1745</v>
      </c>
      <c r="C341" t="s">
        <v>1123</v>
      </c>
      <c r="D341" t="s">
        <v>145</v>
      </c>
      <c r="E341" t="s">
        <v>1124</v>
      </c>
      <c r="F341" t="s">
        <v>1746</v>
      </c>
      <c r="G341" t="s">
        <v>466</v>
      </c>
      <c r="H341" t="s">
        <v>150</v>
      </c>
      <c r="I341" t="s">
        <v>1134</v>
      </c>
      <c r="J341" t="s">
        <v>1130</v>
      </c>
      <c r="K341" t="s">
        <v>153</v>
      </c>
      <c r="L341" t="s">
        <v>85</v>
      </c>
      <c r="M341" t="s">
        <v>162</v>
      </c>
      <c r="N341" s="8"/>
      <c r="O341" s="8"/>
      <c r="P341" s="8"/>
      <c r="Q341" s="8"/>
      <c r="R341" s="8"/>
      <c r="S341" s="8"/>
      <c r="T341" s="8"/>
    </row>
    <row r="342" spans="1:20" x14ac:dyDescent="0.25">
      <c r="A342" s="7">
        <v>357</v>
      </c>
      <c r="B342" s="7" t="s">
        <v>1747</v>
      </c>
      <c r="C342" s="7" t="s">
        <v>145</v>
      </c>
      <c r="D342" s="7" t="s">
        <v>287</v>
      </c>
      <c r="E342" s="7" t="s">
        <v>1748</v>
      </c>
      <c r="F342" s="7" t="s">
        <v>1749</v>
      </c>
      <c r="G342" s="7" t="s">
        <v>1056</v>
      </c>
      <c r="H342" s="7" t="s">
        <v>150</v>
      </c>
      <c r="I342" s="7" t="s">
        <v>1750</v>
      </c>
      <c r="J342" s="7" t="s">
        <v>1751</v>
      </c>
      <c r="K342" s="7" t="s">
        <v>153</v>
      </c>
      <c r="L342" s="7" t="s">
        <v>85</v>
      </c>
      <c r="M342" s="7" t="s">
        <v>162</v>
      </c>
      <c r="N342" s="8"/>
      <c r="O342" s="8"/>
      <c r="P342" s="8"/>
      <c r="Q342" s="8"/>
      <c r="R342" s="8"/>
      <c r="S342" s="8"/>
      <c r="T342" s="8"/>
    </row>
    <row r="343" spans="1:20" x14ac:dyDescent="0.25">
      <c r="A343">
        <v>607</v>
      </c>
      <c r="B343" t="s">
        <v>1752</v>
      </c>
      <c r="C343" t="s">
        <v>145</v>
      </c>
      <c r="D343" t="s">
        <v>1753</v>
      </c>
      <c r="E343" t="s">
        <v>1754</v>
      </c>
      <c r="F343" t="s">
        <v>1755</v>
      </c>
      <c r="G343" t="s">
        <v>1756</v>
      </c>
      <c r="H343" t="s">
        <v>150</v>
      </c>
      <c r="I343" t="s">
        <v>1757</v>
      </c>
      <c r="J343" t="s">
        <v>1758</v>
      </c>
      <c r="K343" t="s">
        <v>153</v>
      </c>
      <c r="L343" t="s">
        <v>85</v>
      </c>
      <c r="M343" t="s">
        <v>145</v>
      </c>
      <c r="N343" s="8"/>
      <c r="O343" s="8"/>
      <c r="P343" s="8"/>
      <c r="Q343" s="8"/>
      <c r="R343" s="8"/>
      <c r="S343" s="8"/>
      <c r="T343" s="8"/>
    </row>
    <row r="344" spans="1:20" x14ac:dyDescent="0.25">
      <c r="A344" s="7">
        <v>649</v>
      </c>
      <c r="B344" s="7" t="s">
        <v>1759</v>
      </c>
      <c r="C344" s="7" t="s">
        <v>442</v>
      </c>
      <c r="D344" s="7" t="s">
        <v>304</v>
      </c>
      <c r="E344" s="7" t="s">
        <v>443</v>
      </c>
      <c r="F344" s="7" t="s">
        <v>1760</v>
      </c>
      <c r="G344" s="7" t="s">
        <v>149</v>
      </c>
      <c r="H344" s="7" t="s">
        <v>150</v>
      </c>
      <c r="I344" s="7"/>
      <c r="J344" s="7"/>
      <c r="K344" s="7" t="s">
        <v>153</v>
      </c>
      <c r="L344" s="7" t="s">
        <v>85</v>
      </c>
      <c r="M344" s="7" t="s">
        <v>162</v>
      </c>
      <c r="N344" s="8"/>
      <c r="O344" s="8"/>
      <c r="P344" s="8"/>
      <c r="Q344" s="8"/>
      <c r="R344" s="8"/>
      <c r="S344" s="8"/>
      <c r="T344" s="8"/>
    </row>
    <row r="345" spans="1:20" x14ac:dyDescent="0.25">
      <c r="A345">
        <v>366</v>
      </c>
      <c r="B345" t="s">
        <v>1761</v>
      </c>
      <c r="C345" t="s">
        <v>145</v>
      </c>
      <c r="D345" t="s">
        <v>146</v>
      </c>
      <c r="E345" t="s">
        <v>1762</v>
      </c>
      <c r="F345" t="s">
        <v>1763</v>
      </c>
      <c r="G345" t="s">
        <v>390</v>
      </c>
      <c r="H345" t="s">
        <v>150</v>
      </c>
      <c r="I345" t="s">
        <v>1764</v>
      </c>
      <c r="J345" t="s">
        <v>1765</v>
      </c>
      <c r="K345" t="s">
        <v>153</v>
      </c>
      <c r="L345" t="s">
        <v>154</v>
      </c>
      <c r="M345" t="s">
        <v>162</v>
      </c>
      <c r="N345" s="8"/>
      <c r="O345" s="8"/>
      <c r="P345" s="8"/>
      <c r="Q345" s="8"/>
      <c r="R345" s="8"/>
      <c r="S345" s="8"/>
      <c r="T345" s="8"/>
    </row>
    <row r="346" spans="1:20" x14ac:dyDescent="0.25">
      <c r="A346" s="7">
        <v>668</v>
      </c>
      <c r="B346" s="7" t="s">
        <v>1766</v>
      </c>
      <c r="C346" s="7" t="s">
        <v>145</v>
      </c>
      <c r="D346" s="7" t="s">
        <v>417</v>
      </c>
      <c r="E346" s="7" t="s">
        <v>1767</v>
      </c>
      <c r="F346" s="7" t="s">
        <v>1768</v>
      </c>
      <c r="G346" s="7"/>
      <c r="H346" s="7" t="s">
        <v>150</v>
      </c>
      <c r="I346" s="7" t="s">
        <v>1769</v>
      </c>
      <c r="J346" s="7" t="s">
        <v>1770</v>
      </c>
      <c r="K346" s="7" t="s">
        <v>153</v>
      </c>
      <c r="L346" s="7" t="s">
        <v>154</v>
      </c>
      <c r="M346" s="7" t="s">
        <v>162</v>
      </c>
      <c r="N346" s="8"/>
      <c r="O346" s="8"/>
      <c r="P346" s="8"/>
      <c r="Q346" s="8"/>
      <c r="R346" s="8"/>
      <c r="S346" s="8"/>
      <c r="T346" s="8"/>
    </row>
    <row r="347" spans="1:20" x14ac:dyDescent="0.25">
      <c r="A347">
        <v>512</v>
      </c>
      <c r="B347" t="s">
        <v>1771</v>
      </c>
      <c r="C347" t="s">
        <v>145</v>
      </c>
      <c r="D347" t="s">
        <v>1136</v>
      </c>
      <c r="E347" t="s">
        <v>1772</v>
      </c>
      <c r="F347" t="s">
        <v>1773</v>
      </c>
      <c r="G347" t="s">
        <v>198</v>
      </c>
      <c r="H347" t="s">
        <v>150</v>
      </c>
      <c r="I347" t="s">
        <v>1774</v>
      </c>
      <c r="J347" t="s">
        <v>1775</v>
      </c>
      <c r="K347" t="s">
        <v>153</v>
      </c>
      <c r="L347" t="s">
        <v>85</v>
      </c>
      <c r="M347" t="s">
        <v>145</v>
      </c>
      <c r="N347" s="8"/>
      <c r="O347" s="8"/>
      <c r="P347" s="8"/>
      <c r="Q347" s="8"/>
      <c r="R347" s="8"/>
      <c r="S347" s="8"/>
      <c r="T347" s="8"/>
    </row>
    <row r="348" spans="1:20" x14ac:dyDescent="0.25">
      <c r="A348" s="7">
        <v>363</v>
      </c>
      <c r="B348" s="7" t="s">
        <v>1776</v>
      </c>
      <c r="C348" s="7" t="s">
        <v>145</v>
      </c>
      <c r="D348" s="7" t="s">
        <v>1136</v>
      </c>
      <c r="E348" s="7" t="s">
        <v>1777</v>
      </c>
      <c r="F348" s="7" t="s">
        <v>1778</v>
      </c>
      <c r="G348" s="7" t="s">
        <v>183</v>
      </c>
      <c r="H348" s="7" t="s">
        <v>150</v>
      </c>
      <c r="I348" s="7" t="s">
        <v>1779</v>
      </c>
      <c r="J348" s="7" t="s">
        <v>1780</v>
      </c>
      <c r="K348" s="7" t="s">
        <v>153</v>
      </c>
      <c r="L348" s="7" t="s">
        <v>154</v>
      </c>
      <c r="M348" s="7" t="s">
        <v>145</v>
      </c>
      <c r="N348" s="8"/>
      <c r="O348" s="8"/>
      <c r="P348" s="8"/>
      <c r="Q348" s="8"/>
      <c r="R348" s="8"/>
      <c r="S348" s="8"/>
      <c r="T348" s="8"/>
    </row>
    <row r="349" spans="1:20" x14ac:dyDescent="0.25">
      <c r="A349">
        <v>564</v>
      </c>
      <c r="B349" t="s">
        <v>1781</v>
      </c>
      <c r="C349" t="s">
        <v>145</v>
      </c>
      <c r="D349" t="s">
        <v>146</v>
      </c>
      <c r="E349" t="s">
        <v>1782</v>
      </c>
      <c r="F349" t="s">
        <v>1783</v>
      </c>
      <c r="G349" t="s">
        <v>183</v>
      </c>
      <c r="H349" t="s">
        <v>150</v>
      </c>
      <c r="I349" t="s">
        <v>1784</v>
      </c>
      <c r="J349" t="s">
        <v>1785</v>
      </c>
      <c r="K349" t="s">
        <v>153</v>
      </c>
      <c r="L349" t="s">
        <v>154</v>
      </c>
      <c r="M349" t="s">
        <v>145</v>
      </c>
      <c r="N349" s="8"/>
      <c r="O349" s="8"/>
      <c r="P349" s="8"/>
      <c r="Q349" s="8"/>
      <c r="R349" s="8"/>
      <c r="S349" s="8"/>
      <c r="T349" s="8"/>
    </row>
    <row r="350" spans="1:20" x14ac:dyDescent="0.25">
      <c r="A350" s="7">
        <v>713</v>
      </c>
      <c r="B350" s="7" t="s">
        <v>1786</v>
      </c>
      <c r="C350" s="7" t="s">
        <v>145</v>
      </c>
      <c r="D350" s="7" t="s">
        <v>145</v>
      </c>
      <c r="E350" s="7" t="s">
        <v>1787</v>
      </c>
      <c r="F350" s="7" t="s">
        <v>1788</v>
      </c>
      <c r="G350" s="7" t="s">
        <v>159</v>
      </c>
      <c r="H350" s="7" t="s">
        <v>150</v>
      </c>
      <c r="I350" s="7" t="s">
        <v>1789</v>
      </c>
      <c r="J350" s="7" t="s">
        <v>1790</v>
      </c>
      <c r="K350" s="7" t="s">
        <v>153</v>
      </c>
      <c r="L350" s="7" t="s">
        <v>154</v>
      </c>
      <c r="M350" s="7" t="s">
        <v>162</v>
      </c>
      <c r="N350" s="8"/>
      <c r="O350" s="8"/>
      <c r="P350" s="8"/>
      <c r="Q350" s="8"/>
      <c r="R350" s="8"/>
      <c r="S350" s="8"/>
      <c r="T350" s="8"/>
    </row>
    <row r="351" spans="1:20" x14ac:dyDescent="0.25">
      <c r="A351">
        <v>425</v>
      </c>
      <c r="B351" t="s">
        <v>1791</v>
      </c>
      <c r="C351" t="s">
        <v>145</v>
      </c>
      <c r="D351" t="s">
        <v>146</v>
      </c>
      <c r="E351" t="s">
        <v>1792</v>
      </c>
      <c r="F351" t="s">
        <v>1793</v>
      </c>
      <c r="G351" t="s">
        <v>667</v>
      </c>
      <c r="H351" t="s">
        <v>150</v>
      </c>
      <c r="I351" t="s">
        <v>1794</v>
      </c>
      <c r="J351" t="s">
        <v>179</v>
      </c>
      <c r="K351" t="s">
        <v>153</v>
      </c>
      <c r="L351" t="s">
        <v>85</v>
      </c>
      <c r="M351" t="s">
        <v>145</v>
      </c>
      <c r="N351" s="8"/>
      <c r="O351" s="8"/>
      <c r="P351" s="8"/>
      <c r="Q351" s="8"/>
      <c r="R351" s="8"/>
      <c r="S351" s="8"/>
      <c r="T351" s="8"/>
    </row>
    <row r="352" spans="1:20" x14ac:dyDescent="0.25">
      <c r="A352" s="7">
        <v>639</v>
      </c>
      <c r="B352" s="7" t="s">
        <v>1791</v>
      </c>
      <c r="C352" s="7" t="s">
        <v>145</v>
      </c>
      <c r="D352" s="7" t="s">
        <v>146</v>
      </c>
      <c r="E352" s="7" t="s">
        <v>1795</v>
      </c>
      <c r="F352" s="7" t="s">
        <v>1796</v>
      </c>
      <c r="G352" s="7" t="s">
        <v>183</v>
      </c>
      <c r="H352" s="7" t="s">
        <v>150</v>
      </c>
      <c r="I352" s="7" t="s">
        <v>1797</v>
      </c>
      <c r="J352" s="7" t="s">
        <v>1798</v>
      </c>
      <c r="K352" s="7" t="s">
        <v>153</v>
      </c>
      <c r="L352" s="7" t="s">
        <v>154</v>
      </c>
      <c r="M352" s="7" t="s">
        <v>145</v>
      </c>
      <c r="N352" s="8"/>
      <c r="O352" s="8"/>
      <c r="P352" s="8"/>
      <c r="Q352" s="8"/>
      <c r="R352" s="8"/>
      <c r="S352" s="8"/>
      <c r="T352" s="8"/>
    </row>
    <row r="353" spans="1:20" x14ac:dyDescent="0.25">
      <c r="A353">
        <v>723</v>
      </c>
      <c r="B353" t="s">
        <v>1791</v>
      </c>
      <c r="C353" t="s">
        <v>145</v>
      </c>
      <c r="D353" t="s">
        <v>1799</v>
      </c>
      <c r="E353" t="s">
        <v>1800</v>
      </c>
      <c r="F353" t="s">
        <v>1801</v>
      </c>
      <c r="H353" t="s">
        <v>150</v>
      </c>
      <c r="I353" t="s">
        <v>1802</v>
      </c>
      <c r="J353" t="s">
        <v>1803</v>
      </c>
      <c r="K353" t="s">
        <v>153</v>
      </c>
      <c r="L353" t="s">
        <v>154</v>
      </c>
      <c r="M353" t="s">
        <v>145</v>
      </c>
      <c r="N353" s="8"/>
      <c r="O353" s="8"/>
      <c r="P353" s="8"/>
      <c r="Q353" s="8"/>
      <c r="R353" s="8"/>
      <c r="S353" s="8"/>
      <c r="T353" s="8"/>
    </row>
    <row r="354" spans="1:20" x14ac:dyDescent="0.25">
      <c r="A354" s="7">
        <v>511</v>
      </c>
      <c r="B354" s="7" t="s">
        <v>1804</v>
      </c>
      <c r="C354" s="7" t="s">
        <v>145</v>
      </c>
      <c r="D354" s="7" t="s">
        <v>146</v>
      </c>
      <c r="E354" s="7" t="s">
        <v>1805</v>
      </c>
      <c r="F354" s="7" t="s">
        <v>1806</v>
      </c>
      <c r="G354" s="7" t="s">
        <v>198</v>
      </c>
      <c r="H354" s="7" t="s">
        <v>150</v>
      </c>
      <c r="I354" s="7" t="s">
        <v>1807</v>
      </c>
      <c r="J354" s="7" t="s">
        <v>1808</v>
      </c>
      <c r="K354" s="7" t="s">
        <v>153</v>
      </c>
      <c r="L354" s="7" t="s">
        <v>154</v>
      </c>
      <c r="M354" s="7" t="s">
        <v>145</v>
      </c>
      <c r="N354" s="8"/>
      <c r="O354" s="8"/>
      <c r="P354" s="8"/>
      <c r="Q354" s="8"/>
      <c r="R354" s="8"/>
      <c r="S354" s="8"/>
      <c r="T354" s="8"/>
    </row>
    <row r="355" spans="1:20" x14ac:dyDescent="0.25">
      <c r="A355">
        <v>509</v>
      </c>
      <c r="B355" t="s">
        <v>1809</v>
      </c>
      <c r="C355" t="s">
        <v>145</v>
      </c>
      <c r="D355" t="s">
        <v>146</v>
      </c>
      <c r="E355" t="s">
        <v>1810</v>
      </c>
      <c r="F355" t="s">
        <v>1811</v>
      </c>
      <c r="G355" t="s">
        <v>198</v>
      </c>
      <c r="H355" t="s">
        <v>150</v>
      </c>
      <c r="I355" t="s">
        <v>1812</v>
      </c>
      <c r="J355" t="s">
        <v>1813</v>
      </c>
      <c r="K355" t="s">
        <v>153</v>
      </c>
      <c r="L355" t="s">
        <v>85</v>
      </c>
      <c r="M355" t="s">
        <v>145</v>
      </c>
      <c r="N355" s="8"/>
      <c r="O355" s="8"/>
      <c r="P355" s="8"/>
      <c r="Q355" s="8"/>
      <c r="R355" s="8"/>
      <c r="S355" s="8"/>
      <c r="T355" s="8"/>
    </row>
    <row r="356" spans="1:20" x14ac:dyDescent="0.25">
      <c r="A356" s="7">
        <v>574</v>
      </c>
      <c r="B356" s="7" t="s">
        <v>1814</v>
      </c>
      <c r="C356" s="7" t="s">
        <v>145</v>
      </c>
      <c r="D356" s="7" t="s">
        <v>146</v>
      </c>
      <c r="E356" s="7" t="s">
        <v>1815</v>
      </c>
      <c r="F356" s="7" t="s">
        <v>1816</v>
      </c>
      <c r="G356" s="7" t="s">
        <v>183</v>
      </c>
      <c r="H356" s="7" t="s">
        <v>150</v>
      </c>
      <c r="I356" s="7" t="s">
        <v>1817</v>
      </c>
      <c r="J356" s="7" t="s">
        <v>1818</v>
      </c>
      <c r="K356" s="7" t="s">
        <v>153</v>
      </c>
      <c r="L356" s="7" t="s">
        <v>154</v>
      </c>
      <c r="M356" s="7" t="s">
        <v>145</v>
      </c>
      <c r="N356" s="8"/>
      <c r="O356" s="8"/>
      <c r="P356" s="8"/>
      <c r="Q356" s="8"/>
      <c r="R356" s="8"/>
      <c r="S356" s="8"/>
      <c r="T356" s="8"/>
    </row>
    <row r="357" spans="1:20" x14ac:dyDescent="0.25">
      <c r="A357">
        <v>891</v>
      </c>
      <c r="B357" t="s">
        <v>1819</v>
      </c>
      <c r="C357" t="s">
        <v>145</v>
      </c>
      <c r="D357" t="s">
        <v>145</v>
      </c>
      <c r="E357" t="s">
        <v>1820</v>
      </c>
      <c r="F357" t="s">
        <v>1821</v>
      </c>
      <c r="G357" t="s">
        <v>778</v>
      </c>
      <c r="H357" t="s">
        <v>150</v>
      </c>
      <c r="I357" t="s">
        <v>1822</v>
      </c>
      <c r="J357" t="s">
        <v>1823</v>
      </c>
      <c r="K357" t="s">
        <v>153</v>
      </c>
      <c r="L357" t="s">
        <v>85</v>
      </c>
      <c r="M357" t="s">
        <v>162</v>
      </c>
      <c r="N357" s="8"/>
      <c r="O357" s="8"/>
      <c r="P357" s="8"/>
      <c r="Q357" s="8"/>
      <c r="R357" s="8"/>
      <c r="S357" s="8"/>
      <c r="T357" s="8"/>
    </row>
    <row r="358" spans="1:20" x14ac:dyDescent="0.25">
      <c r="A358" s="7">
        <v>892</v>
      </c>
      <c r="B358" s="7" t="s">
        <v>1824</v>
      </c>
      <c r="C358" s="7" t="s">
        <v>145</v>
      </c>
      <c r="D358" s="7" t="s">
        <v>145</v>
      </c>
      <c r="E358" s="7" t="s">
        <v>1824</v>
      </c>
      <c r="F358" s="7" t="s">
        <v>1825</v>
      </c>
      <c r="G358" s="7" t="s">
        <v>149</v>
      </c>
      <c r="H358" s="7" t="s">
        <v>150</v>
      </c>
      <c r="I358" s="7" t="s">
        <v>1826</v>
      </c>
      <c r="J358" s="7" t="s">
        <v>1827</v>
      </c>
      <c r="K358" s="7" t="s">
        <v>153</v>
      </c>
      <c r="L358" s="7" t="s">
        <v>154</v>
      </c>
      <c r="M358" s="7" t="s">
        <v>162</v>
      </c>
      <c r="N358" s="8"/>
      <c r="O358" s="8"/>
      <c r="P358" s="8"/>
      <c r="Q358" s="8"/>
      <c r="R358" s="8"/>
      <c r="S358" s="8"/>
      <c r="T358" s="8"/>
    </row>
    <row r="359" spans="1:20" x14ac:dyDescent="0.25">
      <c r="A359">
        <v>461</v>
      </c>
      <c r="B359" t="s">
        <v>1828</v>
      </c>
      <c r="C359" t="s">
        <v>145</v>
      </c>
      <c r="D359" t="s">
        <v>287</v>
      </c>
      <c r="E359" t="s">
        <v>1829</v>
      </c>
      <c r="F359" t="s">
        <v>1830</v>
      </c>
      <c r="G359" t="s">
        <v>936</v>
      </c>
      <c r="H359" t="s">
        <v>150</v>
      </c>
      <c r="I359" t="s">
        <v>1831</v>
      </c>
      <c r="J359" t="s">
        <v>1832</v>
      </c>
      <c r="K359" t="s">
        <v>153</v>
      </c>
      <c r="L359" t="s">
        <v>154</v>
      </c>
      <c r="M359" t="s">
        <v>145</v>
      </c>
      <c r="N359" s="8"/>
      <c r="O359" s="8"/>
      <c r="P359" s="8"/>
      <c r="Q359" s="8"/>
      <c r="R359" s="8"/>
      <c r="S359" s="8"/>
      <c r="T359" s="8"/>
    </row>
    <row r="360" spans="1:20" x14ac:dyDescent="0.25">
      <c r="A360" s="7">
        <v>702</v>
      </c>
      <c r="B360" s="7" t="s">
        <v>1833</v>
      </c>
      <c r="C360" s="7" t="s">
        <v>145</v>
      </c>
      <c r="D360" s="7" t="s">
        <v>146</v>
      </c>
      <c r="E360" s="7" t="s">
        <v>1834</v>
      </c>
      <c r="F360" s="7" t="s">
        <v>1835</v>
      </c>
      <c r="G360" s="7" t="s">
        <v>183</v>
      </c>
      <c r="H360" s="7" t="s">
        <v>150</v>
      </c>
      <c r="I360" s="7" t="s">
        <v>1836</v>
      </c>
      <c r="J360" s="7" t="s">
        <v>1837</v>
      </c>
      <c r="K360" s="7" t="s">
        <v>153</v>
      </c>
      <c r="L360" s="7" t="s">
        <v>154</v>
      </c>
      <c r="M360" s="7" t="s">
        <v>145</v>
      </c>
      <c r="N360" s="8"/>
      <c r="O360" s="8"/>
      <c r="P360" s="8"/>
      <c r="Q360" s="8"/>
      <c r="R360" s="8"/>
      <c r="S360" s="8"/>
      <c r="T360" s="8"/>
    </row>
    <row r="361" spans="1:20" x14ac:dyDescent="0.25">
      <c r="A361">
        <v>850</v>
      </c>
      <c r="B361" t="s">
        <v>1838</v>
      </c>
      <c r="C361" t="s">
        <v>145</v>
      </c>
      <c r="D361" t="s">
        <v>145</v>
      </c>
      <c r="E361" t="s">
        <v>1839</v>
      </c>
      <c r="F361" t="s">
        <v>1840</v>
      </c>
      <c r="G361" t="s">
        <v>1691</v>
      </c>
      <c r="H361" t="s">
        <v>150</v>
      </c>
      <c r="I361" t="s">
        <v>1841</v>
      </c>
      <c r="J361" t="s">
        <v>1842</v>
      </c>
      <c r="K361" t="s">
        <v>153</v>
      </c>
      <c r="L361" t="s">
        <v>154</v>
      </c>
      <c r="M361" t="s">
        <v>145</v>
      </c>
      <c r="N361" s="8"/>
      <c r="O361" s="8"/>
      <c r="P361" s="8"/>
      <c r="Q361" s="8"/>
      <c r="R361" s="8"/>
      <c r="S361" s="8"/>
      <c r="T361" s="8"/>
    </row>
    <row r="362" spans="1:20" x14ac:dyDescent="0.25">
      <c r="A362" s="7">
        <v>620</v>
      </c>
      <c r="B362" s="7" t="s">
        <v>1843</v>
      </c>
      <c r="C362" s="7" t="s">
        <v>145</v>
      </c>
      <c r="D362" s="7" t="s">
        <v>1059</v>
      </c>
      <c r="E362" s="7" t="s">
        <v>1844</v>
      </c>
      <c r="F362" s="7" t="s">
        <v>1845</v>
      </c>
      <c r="G362" s="7" t="s">
        <v>149</v>
      </c>
      <c r="H362" s="7" t="s">
        <v>150</v>
      </c>
      <c r="I362" s="7" t="s">
        <v>1846</v>
      </c>
      <c r="J362" s="7" t="s">
        <v>1847</v>
      </c>
      <c r="K362" s="7" t="s">
        <v>153</v>
      </c>
      <c r="L362" s="7" t="s">
        <v>154</v>
      </c>
      <c r="M362" s="7" t="s">
        <v>145</v>
      </c>
      <c r="N362" s="8"/>
      <c r="O362" s="8"/>
      <c r="P362" s="8"/>
      <c r="Q362" s="8"/>
      <c r="R362" s="8"/>
      <c r="S362" s="8"/>
      <c r="T362" s="8"/>
    </row>
    <row r="363" spans="1:20" x14ac:dyDescent="0.25">
      <c r="A363">
        <v>846</v>
      </c>
      <c r="B363" t="s">
        <v>1848</v>
      </c>
      <c r="C363" t="s">
        <v>145</v>
      </c>
      <c r="D363" t="s">
        <v>145</v>
      </c>
      <c r="E363" t="s">
        <v>1849</v>
      </c>
      <c r="F363" t="s">
        <v>1850</v>
      </c>
      <c r="G363" t="s">
        <v>1851</v>
      </c>
      <c r="H363" t="s">
        <v>215</v>
      </c>
      <c r="I363" t="s">
        <v>1852</v>
      </c>
      <c r="J363" t="s">
        <v>1853</v>
      </c>
      <c r="K363" t="s">
        <v>153</v>
      </c>
      <c r="L363" t="s">
        <v>154</v>
      </c>
      <c r="M363" t="s">
        <v>162</v>
      </c>
      <c r="N363" s="8"/>
      <c r="O363" s="8"/>
      <c r="P363" s="8"/>
      <c r="Q363" s="8"/>
      <c r="R363" s="8"/>
      <c r="S363" s="8"/>
      <c r="T363" s="8"/>
    </row>
    <row r="364" spans="1:20" x14ac:dyDescent="0.25">
      <c r="A364" s="7">
        <v>894</v>
      </c>
      <c r="B364" s="7" t="s">
        <v>1854</v>
      </c>
      <c r="C364" s="7" t="s">
        <v>145</v>
      </c>
      <c r="D364" s="7" t="s">
        <v>145</v>
      </c>
      <c r="E364" s="7" t="s">
        <v>1855</v>
      </c>
      <c r="F364" s="7" t="s">
        <v>1856</v>
      </c>
      <c r="G364" s="7" t="s">
        <v>149</v>
      </c>
      <c r="H364" s="7" t="s">
        <v>150</v>
      </c>
      <c r="I364" s="7" t="s">
        <v>1857</v>
      </c>
      <c r="J364" s="7" t="s">
        <v>1858</v>
      </c>
      <c r="K364" s="7" t="s">
        <v>153</v>
      </c>
      <c r="L364" s="7" t="s">
        <v>85</v>
      </c>
      <c r="M364" s="7" t="s">
        <v>162</v>
      </c>
      <c r="N364" s="8"/>
      <c r="O364" s="8"/>
      <c r="P364" s="8"/>
      <c r="Q364" s="8"/>
      <c r="R364" s="8"/>
      <c r="S364" s="8"/>
      <c r="T364" s="8"/>
    </row>
    <row r="365" spans="1:20" x14ac:dyDescent="0.25">
      <c r="A365">
        <v>792</v>
      </c>
      <c r="B365" t="s">
        <v>1854</v>
      </c>
      <c r="C365" t="s">
        <v>1367</v>
      </c>
      <c r="D365" t="s">
        <v>145</v>
      </c>
      <c r="E365" t="s">
        <v>1859</v>
      </c>
      <c r="F365" t="s">
        <v>1860</v>
      </c>
      <c r="G365" t="s">
        <v>149</v>
      </c>
      <c r="H365" t="s">
        <v>150</v>
      </c>
      <c r="I365" t="s">
        <v>1857</v>
      </c>
      <c r="J365" t="s">
        <v>1858</v>
      </c>
      <c r="K365" t="s">
        <v>153</v>
      </c>
      <c r="L365" t="s">
        <v>154</v>
      </c>
      <c r="M365" t="s">
        <v>162</v>
      </c>
      <c r="N365" s="8"/>
      <c r="O365" s="8"/>
      <c r="P365" s="8"/>
      <c r="Q365" s="8"/>
      <c r="R365" s="8"/>
      <c r="S365" s="8"/>
      <c r="T365" s="8"/>
    </row>
    <row r="366" spans="1:20" x14ac:dyDescent="0.25">
      <c r="A366" s="7">
        <v>466</v>
      </c>
      <c r="B366" s="7" t="s">
        <v>1861</v>
      </c>
      <c r="C366" s="7" t="s">
        <v>145</v>
      </c>
      <c r="D366" s="7" t="s">
        <v>146</v>
      </c>
      <c r="E366" s="7" t="s">
        <v>1862</v>
      </c>
      <c r="F366" s="7" t="s">
        <v>1863</v>
      </c>
      <c r="G366" s="7" t="s">
        <v>198</v>
      </c>
      <c r="H366" s="7" t="s">
        <v>150</v>
      </c>
      <c r="I366" s="7" t="s">
        <v>1370</v>
      </c>
      <c r="J366" s="7" t="s">
        <v>1371</v>
      </c>
      <c r="K366" s="7" t="s">
        <v>153</v>
      </c>
      <c r="L366" s="7" t="s">
        <v>85</v>
      </c>
      <c r="M366" s="7" t="s">
        <v>145</v>
      </c>
      <c r="N366" s="8"/>
      <c r="O366" s="8"/>
      <c r="P366" s="8"/>
      <c r="Q366" s="8"/>
      <c r="R366" s="8"/>
      <c r="S366" s="8"/>
      <c r="T366" s="8"/>
    </row>
    <row r="367" spans="1:20" x14ac:dyDescent="0.25">
      <c r="A367">
        <v>725</v>
      </c>
      <c r="B367" t="s">
        <v>1864</v>
      </c>
      <c r="C367" t="s">
        <v>145</v>
      </c>
      <c r="D367" t="s">
        <v>145</v>
      </c>
      <c r="E367" t="s">
        <v>1865</v>
      </c>
      <c r="F367" t="s">
        <v>1866</v>
      </c>
      <c r="G367" t="s">
        <v>1080</v>
      </c>
      <c r="H367" t="s">
        <v>150</v>
      </c>
      <c r="I367" t="s">
        <v>1867</v>
      </c>
      <c r="J367" t="s">
        <v>1868</v>
      </c>
      <c r="K367" t="s">
        <v>153</v>
      </c>
      <c r="L367" t="s">
        <v>85</v>
      </c>
      <c r="M367" t="s">
        <v>145</v>
      </c>
      <c r="N367" s="8"/>
      <c r="O367" s="8"/>
      <c r="P367" s="8"/>
      <c r="Q367" s="8"/>
      <c r="R367" s="8"/>
      <c r="S367" s="8"/>
      <c r="T367" s="8"/>
    </row>
    <row r="368" spans="1:20" x14ac:dyDescent="0.25">
      <c r="A368" s="7">
        <v>417</v>
      </c>
      <c r="B368" s="7" t="s">
        <v>1869</v>
      </c>
      <c r="C368" s="7" t="s">
        <v>145</v>
      </c>
      <c r="D368" s="7" t="s">
        <v>346</v>
      </c>
      <c r="E368" s="7" t="s">
        <v>1870</v>
      </c>
      <c r="F368" s="7" t="s">
        <v>1871</v>
      </c>
      <c r="G368" s="7"/>
      <c r="H368" s="7" t="s">
        <v>150</v>
      </c>
      <c r="I368" s="7" t="s">
        <v>1872</v>
      </c>
      <c r="J368" s="7" t="s">
        <v>1873</v>
      </c>
      <c r="K368" s="7" t="s">
        <v>153</v>
      </c>
      <c r="L368" s="7" t="s">
        <v>154</v>
      </c>
      <c r="M368" s="7" t="s">
        <v>162</v>
      </c>
      <c r="N368" s="8"/>
      <c r="O368" s="8"/>
      <c r="P368" s="8"/>
      <c r="Q368" s="8"/>
      <c r="R368" s="8"/>
      <c r="S368" s="8"/>
      <c r="T368" s="8"/>
    </row>
    <row r="369" spans="1:20" x14ac:dyDescent="0.25">
      <c r="A369">
        <v>700</v>
      </c>
      <c r="B369" t="s">
        <v>1874</v>
      </c>
      <c r="C369" t="s">
        <v>145</v>
      </c>
      <c r="D369" t="s">
        <v>145</v>
      </c>
      <c r="E369" t="s">
        <v>1875</v>
      </c>
      <c r="F369" t="s">
        <v>1876</v>
      </c>
      <c r="G369" t="s">
        <v>502</v>
      </c>
      <c r="H369" t="s">
        <v>150</v>
      </c>
      <c r="I369" t="s">
        <v>1238</v>
      </c>
      <c r="J369" t="s">
        <v>498</v>
      </c>
      <c r="K369" t="s">
        <v>153</v>
      </c>
      <c r="L369" t="s">
        <v>154</v>
      </c>
      <c r="M369" t="s">
        <v>145</v>
      </c>
      <c r="N369" s="8"/>
      <c r="O369" s="8"/>
      <c r="P369" s="8"/>
      <c r="Q369" s="8"/>
      <c r="R369" s="8"/>
      <c r="S369" s="8"/>
      <c r="T369" s="8"/>
    </row>
    <row r="370" spans="1:20" x14ac:dyDescent="0.25">
      <c r="A370" s="7">
        <v>707</v>
      </c>
      <c r="B370" s="7" t="s">
        <v>1877</v>
      </c>
      <c r="C370" s="7" t="s">
        <v>145</v>
      </c>
      <c r="D370" s="7" t="s">
        <v>145</v>
      </c>
      <c r="E370" s="7" t="s">
        <v>1878</v>
      </c>
      <c r="F370" s="7" t="s">
        <v>1879</v>
      </c>
      <c r="G370" s="7" t="s">
        <v>1208</v>
      </c>
      <c r="H370" s="7" t="s">
        <v>150</v>
      </c>
      <c r="I370" s="7" t="s">
        <v>1880</v>
      </c>
      <c r="J370" s="7"/>
      <c r="K370" s="7" t="s">
        <v>153</v>
      </c>
      <c r="L370" s="7" t="s">
        <v>154</v>
      </c>
      <c r="M370" s="7" t="s">
        <v>162</v>
      </c>
      <c r="N370" s="8"/>
      <c r="O370" s="8"/>
      <c r="P370" s="8"/>
      <c r="Q370" s="8"/>
      <c r="R370" s="8"/>
      <c r="S370" s="8"/>
      <c r="T370" s="8"/>
    </row>
    <row r="371" spans="1:20" x14ac:dyDescent="0.25">
      <c r="A371">
        <v>362</v>
      </c>
      <c r="B371" t="s">
        <v>1881</v>
      </c>
      <c r="C371" t="s">
        <v>145</v>
      </c>
      <c r="D371" t="s">
        <v>287</v>
      </c>
      <c r="E371" t="s">
        <v>1882</v>
      </c>
      <c r="F371" t="s">
        <v>1883</v>
      </c>
      <c r="G371" t="s">
        <v>826</v>
      </c>
      <c r="H371" t="s">
        <v>150</v>
      </c>
      <c r="I371" t="s">
        <v>1884</v>
      </c>
      <c r="J371" t="s">
        <v>1885</v>
      </c>
      <c r="K371" t="s">
        <v>153</v>
      </c>
      <c r="L371" t="s">
        <v>154</v>
      </c>
      <c r="M371" t="s">
        <v>145</v>
      </c>
      <c r="N371" s="8"/>
      <c r="O371" s="8"/>
      <c r="P371" s="8"/>
      <c r="Q371" s="8"/>
      <c r="R371" s="8"/>
      <c r="S371" s="8"/>
      <c r="T371" s="8"/>
    </row>
    <row r="372" spans="1:20" x14ac:dyDescent="0.25">
      <c r="A372" s="7">
        <v>777</v>
      </c>
      <c r="B372" s="7" t="s">
        <v>1886</v>
      </c>
      <c r="C372" s="7" t="s">
        <v>145</v>
      </c>
      <c r="D372" s="7" t="s">
        <v>304</v>
      </c>
      <c r="E372" s="7" t="s">
        <v>1887</v>
      </c>
      <c r="F372" s="7" t="s">
        <v>1888</v>
      </c>
      <c r="G372" s="7" t="s">
        <v>1398</v>
      </c>
      <c r="H372" s="7" t="s">
        <v>150</v>
      </c>
      <c r="I372" s="7" t="s">
        <v>1889</v>
      </c>
      <c r="J372" s="7" t="s">
        <v>1890</v>
      </c>
      <c r="K372" s="7" t="s">
        <v>153</v>
      </c>
      <c r="L372" s="7" t="s">
        <v>154</v>
      </c>
      <c r="M372" s="7" t="s">
        <v>162</v>
      </c>
      <c r="N372" s="8"/>
      <c r="O372" s="8"/>
      <c r="P372" s="8"/>
      <c r="Q372" s="8"/>
      <c r="R372" s="8"/>
      <c r="S372" s="8"/>
      <c r="T372" s="8"/>
    </row>
    <row r="373" spans="1:20" x14ac:dyDescent="0.25">
      <c r="A373">
        <v>743</v>
      </c>
      <c r="B373" t="s">
        <v>1891</v>
      </c>
      <c r="C373" t="s">
        <v>145</v>
      </c>
      <c r="D373" t="s">
        <v>145</v>
      </c>
      <c r="E373" t="s">
        <v>1892</v>
      </c>
      <c r="F373" t="s">
        <v>1893</v>
      </c>
      <c r="G373" t="s">
        <v>1398</v>
      </c>
      <c r="H373" t="s">
        <v>150</v>
      </c>
      <c r="I373" t="s">
        <v>1894</v>
      </c>
      <c r="J373" t="s">
        <v>1895</v>
      </c>
      <c r="K373" t="s">
        <v>153</v>
      </c>
      <c r="L373" t="s">
        <v>154</v>
      </c>
      <c r="M373" t="s">
        <v>162</v>
      </c>
      <c r="N373" s="8"/>
      <c r="O373" s="8"/>
      <c r="P373" s="8"/>
      <c r="Q373" s="8"/>
      <c r="R373" s="8"/>
      <c r="S373" s="8"/>
      <c r="T373" s="8"/>
    </row>
    <row r="374" spans="1:20" x14ac:dyDescent="0.25">
      <c r="A374" s="7">
        <v>667</v>
      </c>
      <c r="B374" s="7" t="s">
        <v>1896</v>
      </c>
      <c r="C374" s="7" t="s">
        <v>145</v>
      </c>
      <c r="D374" s="7" t="s">
        <v>146</v>
      </c>
      <c r="E374" s="7" t="s">
        <v>1897</v>
      </c>
      <c r="F374" s="7" t="s">
        <v>1898</v>
      </c>
      <c r="G374" s="7" t="s">
        <v>149</v>
      </c>
      <c r="H374" s="7" t="s">
        <v>150</v>
      </c>
      <c r="I374" s="7" t="s">
        <v>1899</v>
      </c>
      <c r="J374" s="7" t="s">
        <v>1900</v>
      </c>
      <c r="K374" s="7" t="s">
        <v>153</v>
      </c>
      <c r="L374" s="7" t="s">
        <v>85</v>
      </c>
      <c r="M374" s="7" t="s">
        <v>162</v>
      </c>
      <c r="N374" s="8"/>
      <c r="O374" s="8"/>
      <c r="P374" s="8"/>
      <c r="Q374" s="8"/>
      <c r="R374" s="8"/>
      <c r="S374" s="8"/>
      <c r="T374" s="8"/>
    </row>
    <row r="375" spans="1:20" x14ac:dyDescent="0.25">
      <c r="A375">
        <v>884</v>
      </c>
      <c r="B375" t="s">
        <v>1901</v>
      </c>
      <c r="C375" t="s">
        <v>145</v>
      </c>
      <c r="D375" t="s">
        <v>145</v>
      </c>
      <c r="E375" t="s">
        <v>1901</v>
      </c>
      <c r="F375" t="s">
        <v>1902</v>
      </c>
      <c r="G375" t="s">
        <v>149</v>
      </c>
      <c r="H375" t="s">
        <v>150</v>
      </c>
      <c r="K375" t="s">
        <v>153</v>
      </c>
      <c r="L375" t="s">
        <v>85</v>
      </c>
      <c r="M375" t="s">
        <v>162</v>
      </c>
      <c r="N375" s="8"/>
      <c r="O375" s="8"/>
      <c r="P375" s="8"/>
      <c r="Q375" s="8"/>
      <c r="R375" s="8"/>
      <c r="S375" s="8"/>
      <c r="T375" s="8"/>
    </row>
    <row r="376" spans="1:20" x14ac:dyDescent="0.25">
      <c r="A376" s="7">
        <v>361</v>
      </c>
      <c r="B376" s="7" t="s">
        <v>1903</v>
      </c>
      <c r="C376" s="7" t="s">
        <v>358</v>
      </c>
      <c r="D376" s="7" t="s">
        <v>346</v>
      </c>
      <c r="E376" s="7" t="s">
        <v>1904</v>
      </c>
      <c r="F376" s="7" t="s">
        <v>1905</v>
      </c>
      <c r="G376" s="7" t="s">
        <v>361</v>
      </c>
      <c r="H376" s="7" t="s">
        <v>150</v>
      </c>
      <c r="I376" s="7" t="s">
        <v>1906</v>
      </c>
      <c r="J376" s="7" t="s">
        <v>1907</v>
      </c>
      <c r="K376" s="7" t="s">
        <v>153</v>
      </c>
      <c r="L376" s="7" t="s">
        <v>85</v>
      </c>
      <c r="M376" s="7" t="s">
        <v>162</v>
      </c>
      <c r="N376" s="8"/>
      <c r="O376" s="8"/>
      <c r="P376" s="8"/>
      <c r="Q376" s="8"/>
      <c r="R376" s="8"/>
      <c r="S376" s="8"/>
      <c r="T376" s="8"/>
    </row>
    <row r="377" spans="1:20" x14ac:dyDescent="0.25">
      <c r="A377">
        <v>464</v>
      </c>
      <c r="B377" t="s">
        <v>1908</v>
      </c>
      <c r="C377" t="s">
        <v>145</v>
      </c>
      <c r="D377" t="s">
        <v>146</v>
      </c>
      <c r="E377" t="s">
        <v>1909</v>
      </c>
      <c r="F377" t="s">
        <v>1910</v>
      </c>
      <c r="G377" t="s">
        <v>1911</v>
      </c>
      <c r="H377" t="s">
        <v>150</v>
      </c>
      <c r="I377" t="s">
        <v>1912</v>
      </c>
      <c r="J377" t="s">
        <v>1913</v>
      </c>
      <c r="K377" t="s">
        <v>153</v>
      </c>
      <c r="L377" t="s">
        <v>154</v>
      </c>
      <c r="M377" t="s">
        <v>162</v>
      </c>
      <c r="N377" s="8"/>
      <c r="O377" s="8"/>
      <c r="P377" s="8"/>
      <c r="Q377" s="8"/>
      <c r="R377" s="8"/>
      <c r="S377" s="8"/>
      <c r="T377" s="8"/>
    </row>
    <row r="378" spans="1:20" x14ac:dyDescent="0.25">
      <c r="A378" s="7">
        <v>703</v>
      </c>
      <c r="B378" s="7" t="s">
        <v>1914</v>
      </c>
      <c r="C378" s="7" t="s">
        <v>145</v>
      </c>
      <c r="D378" s="7" t="s">
        <v>346</v>
      </c>
      <c r="E378" s="7" t="s">
        <v>1915</v>
      </c>
      <c r="F378" s="7" t="s">
        <v>1916</v>
      </c>
      <c r="G378" s="7" t="s">
        <v>1056</v>
      </c>
      <c r="H378" s="7" t="s">
        <v>150</v>
      </c>
      <c r="I378" s="7" t="s">
        <v>1917</v>
      </c>
      <c r="J378" s="7" t="s">
        <v>1918</v>
      </c>
      <c r="K378" s="7" t="s">
        <v>153</v>
      </c>
      <c r="L378" s="7" t="s">
        <v>154</v>
      </c>
      <c r="M378" s="7" t="s">
        <v>162</v>
      </c>
      <c r="N378" s="8"/>
      <c r="O378" s="8"/>
      <c r="P378" s="8"/>
      <c r="Q378" s="8"/>
      <c r="R378" s="8"/>
      <c r="S378" s="8"/>
      <c r="T378" s="8"/>
    </row>
    <row r="379" spans="1:20" x14ac:dyDescent="0.25">
      <c r="A379">
        <v>772</v>
      </c>
      <c r="B379" t="s">
        <v>1919</v>
      </c>
      <c r="C379" t="s">
        <v>1407</v>
      </c>
      <c r="D379" t="s">
        <v>304</v>
      </c>
      <c r="E379" t="s">
        <v>1408</v>
      </c>
      <c r="F379" t="s">
        <v>1920</v>
      </c>
      <c r="G379" t="s">
        <v>593</v>
      </c>
      <c r="H379" t="s">
        <v>150</v>
      </c>
      <c r="I379" t="s">
        <v>1411</v>
      </c>
      <c r="J379" t="s">
        <v>1412</v>
      </c>
      <c r="K379" t="s">
        <v>153</v>
      </c>
      <c r="L379" t="s">
        <v>154</v>
      </c>
      <c r="M379" t="s">
        <v>162</v>
      </c>
      <c r="N379" s="8"/>
      <c r="O379" s="8"/>
      <c r="P379" s="8"/>
      <c r="Q379" s="8"/>
      <c r="R379" s="8"/>
      <c r="S379" s="8"/>
      <c r="T379" s="8"/>
    </row>
    <row r="380" spans="1:20" x14ac:dyDescent="0.25">
      <c r="A380" s="7">
        <v>770</v>
      </c>
      <c r="B380" s="7" t="s">
        <v>1921</v>
      </c>
      <c r="C380" s="7" t="s">
        <v>1407</v>
      </c>
      <c r="D380" s="7" t="s">
        <v>304</v>
      </c>
      <c r="E380" s="7" t="s">
        <v>1408</v>
      </c>
      <c r="F380" s="7" t="s">
        <v>1922</v>
      </c>
      <c r="G380" s="7"/>
      <c r="H380" s="7"/>
      <c r="I380" s="7"/>
      <c r="J380" s="7"/>
      <c r="K380" s="7" t="s">
        <v>153</v>
      </c>
      <c r="L380" s="7" t="s">
        <v>154</v>
      </c>
      <c r="M380" s="7" t="s">
        <v>162</v>
      </c>
      <c r="N380" s="8"/>
      <c r="O380" s="8"/>
      <c r="P380" s="8"/>
      <c r="Q380" s="8"/>
      <c r="R380" s="8"/>
      <c r="S380" s="8"/>
      <c r="T380" s="8"/>
    </row>
    <row r="381" spans="1:20" x14ac:dyDescent="0.25">
      <c r="A381">
        <v>497</v>
      </c>
      <c r="B381" t="s">
        <v>1923</v>
      </c>
      <c r="C381" t="s">
        <v>145</v>
      </c>
      <c r="D381" t="s">
        <v>146</v>
      </c>
      <c r="E381" t="s">
        <v>1924</v>
      </c>
      <c r="F381" t="s">
        <v>1925</v>
      </c>
      <c r="G381" t="s">
        <v>198</v>
      </c>
      <c r="H381" t="s">
        <v>150</v>
      </c>
      <c r="I381" t="s">
        <v>1926</v>
      </c>
      <c r="J381" t="s">
        <v>1927</v>
      </c>
      <c r="K381" t="s">
        <v>153</v>
      </c>
      <c r="L381" t="s">
        <v>85</v>
      </c>
      <c r="M381" t="s">
        <v>145</v>
      </c>
      <c r="N381" s="8"/>
      <c r="O381" s="8"/>
      <c r="P381" s="8"/>
      <c r="Q381" s="8"/>
      <c r="R381" s="8"/>
      <c r="S381" s="8"/>
      <c r="T381" s="8"/>
    </row>
    <row r="382" spans="1:20" x14ac:dyDescent="0.25">
      <c r="A382" s="7">
        <v>527</v>
      </c>
      <c r="B382" s="7" t="s">
        <v>1928</v>
      </c>
      <c r="C382" s="7" t="s">
        <v>145</v>
      </c>
      <c r="D382" s="7" t="s">
        <v>146</v>
      </c>
      <c r="E382" s="7" t="s">
        <v>1929</v>
      </c>
      <c r="F382" s="7" t="s">
        <v>1930</v>
      </c>
      <c r="G382" s="7" t="s">
        <v>1488</v>
      </c>
      <c r="H382" s="7" t="s">
        <v>150</v>
      </c>
      <c r="I382" s="7" t="s">
        <v>1931</v>
      </c>
      <c r="J382" s="7" t="s">
        <v>1932</v>
      </c>
      <c r="K382" s="7" t="s">
        <v>153</v>
      </c>
      <c r="L382" s="7" t="s">
        <v>85</v>
      </c>
      <c r="M382" s="7" t="s">
        <v>145</v>
      </c>
      <c r="N382" s="8"/>
      <c r="O382" s="8"/>
      <c r="P382" s="8"/>
      <c r="Q382" s="8"/>
      <c r="R382" s="8"/>
      <c r="S382" s="8"/>
      <c r="T382" s="8"/>
    </row>
    <row r="383" spans="1:20" x14ac:dyDescent="0.25">
      <c r="A383">
        <v>857</v>
      </c>
      <c r="B383" t="s">
        <v>1933</v>
      </c>
      <c r="C383" t="s">
        <v>145</v>
      </c>
      <c r="D383" t="s">
        <v>145</v>
      </c>
      <c r="E383" t="s">
        <v>1934</v>
      </c>
      <c r="F383" t="s">
        <v>1935</v>
      </c>
      <c r="G383" t="s">
        <v>1936</v>
      </c>
      <c r="H383" t="s">
        <v>215</v>
      </c>
      <c r="I383" t="s">
        <v>1937</v>
      </c>
      <c r="J383" t="s">
        <v>1938</v>
      </c>
      <c r="K383" t="s">
        <v>153</v>
      </c>
      <c r="L383" t="s">
        <v>85</v>
      </c>
      <c r="M383" t="s">
        <v>162</v>
      </c>
      <c r="N383" s="8"/>
      <c r="O383" s="8"/>
      <c r="P383" s="8"/>
      <c r="Q383" s="8"/>
      <c r="R383" s="8"/>
      <c r="S383" s="8"/>
      <c r="T383" s="8"/>
    </row>
    <row r="384" spans="1:20" x14ac:dyDescent="0.25">
      <c r="A384" s="7">
        <v>518</v>
      </c>
      <c r="B384" s="7" t="s">
        <v>1939</v>
      </c>
      <c r="C384" s="7" t="s">
        <v>145</v>
      </c>
      <c r="D384" s="7" t="s">
        <v>146</v>
      </c>
      <c r="E384" s="7" t="s">
        <v>1940</v>
      </c>
      <c r="F384" s="7" t="s">
        <v>1941</v>
      </c>
      <c r="G384" s="7" t="s">
        <v>183</v>
      </c>
      <c r="H384" s="7" t="s">
        <v>150</v>
      </c>
      <c r="I384" s="7" t="s">
        <v>1942</v>
      </c>
      <c r="J384" s="7" t="s">
        <v>1943</v>
      </c>
      <c r="K384" s="7" t="s">
        <v>153</v>
      </c>
      <c r="L384" s="7" t="s">
        <v>85</v>
      </c>
      <c r="M384" s="7" t="s">
        <v>145</v>
      </c>
      <c r="N384" s="8"/>
      <c r="O384" s="8"/>
      <c r="P384" s="8"/>
      <c r="Q384" s="8"/>
      <c r="R384" s="8"/>
      <c r="S384" s="8"/>
      <c r="T384" s="8"/>
    </row>
    <row r="385" spans="1:20" x14ac:dyDescent="0.25">
      <c r="A385">
        <v>859</v>
      </c>
      <c r="B385" t="s">
        <v>1944</v>
      </c>
      <c r="C385" t="s">
        <v>145</v>
      </c>
      <c r="D385" t="s">
        <v>145</v>
      </c>
      <c r="E385" t="s">
        <v>1945</v>
      </c>
      <c r="F385" t="s">
        <v>1946</v>
      </c>
      <c r="G385" t="s">
        <v>1056</v>
      </c>
      <c r="H385" t="s">
        <v>150</v>
      </c>
      <c r="I385" t="s">
        <v>1947</v>
      </c>
      <c r="J385" t="s">
        <v>1948</v>
      </c>
      <c r="K385" t="s">
        <v>153</v>
      </c>
      <c r="L385" t="s">
        <v>154</v>
      </c>
      <c r="M385" t="s">
        <v>162</v>
      </c>
      <c r="N385" s="8"/>
      <c r="O385" s="8"/>
      <c r="P385" s="8"/>
      <c r="Q385" s="8"/>
      <c r="R385" s="8"/>
      <c r="S385" s="8"/>
      <c r="T385" s="8"/>
    </row>
    <row r="386" spans="1:20" x14ac:dyDescent="0.25">
      <c r="A386" s="7">
        <v>419</v>
      </c>
      <c r="B386" s="7" t="s">
        <v>1949</v>
      </c>
      <c r="C386" s="7" t="s">
        <v>1950</v>
      </c>
      <c r="D386" s="7" t="s">
        <v>304</v>
      </c>
      <c r="E386" s="7" t="s">
        <v>1951</v>
      </c>
      <c r="F386" s="7" t="s">
        <v>1952</v>
      </c>
      <c r="G386" s="7" t="s">
        <v>1056</v>
      </c>
      <c r="H386" s="7" t="s">
        <v>150</v>
      </c>
      <c r="I386" s="7" t="s">
        <v>1953</v>
      </c>
      <c r="J386" s="7" t="s">
        <v>1954</v>
      </c>
      <c r="K386" s="7" t="s">
        <v>153</v>
      </c>
      <c r="L386" s="7" t="s">
        <v>154</v>
      </c>
      <c r="M386" s="7" t="s">
        <v>162</v>
      </c>
      <c r="N386" s="8"/>
      <c r="O386" s="8"/>
      <c r="P386" s="8"/>
      <c r="Q386" s="8"/>
      <c r="R386" s="8"/>
      <c r="S386" s="8"/>
      <c r="T386" s="8"/>
    </row>
    <row r="387" spans="1:20" x14ac:dyDescent="0.25">
      <c r="A387">
        <v>418</v>
      </c>
      <c r="B387" t="s">
        <v>1949</v>
      </c>
      <c r="C387" t="s">
        <v>1950</v>
      </c>
      <c r="D387" t="s">
        <v>304</v>
      </c>
      <c r="E387" t="s">
        <v>1951</v>
      </c>
      <c r="F387" t="s">
        <v>1955</v>
      </c>
      <c r="G387" t="s">
        <v>1956</v>
      </c>
      <c r="H387" t="s">
        <v>150</v>
      </c>
      <c r="I387" t="s">
        <v>1957</v>
      </c>
      <c r="J387" t="s">
        <v>1954</v>
      </c>
      <c r="K387" t="s">
        <v>153</v>
      </c>
      <c r="L387" t="s">
        <v>85</v>
      </c>
      <c r="M387" t="s">
        <v>145</v>
      </c>
      <c r="N387" s="8"/>
      <c r="O387" s="8"/>
      <c r="P387" s="8"/>
      <c r="Q387" s="8"/>
      <c r="R387" s="8"/>
      <c r="S387" s="8"/>
      <c r="T387" s="8"/>
    </row>
    <row r="388" spans="1:20" x14ac:dyDescent="0.25">
      <c r="A388" s="7">
        <v>490</v>
      </c>
      <c r="B388" s="7" t="s">
        <v>1958</v>
      </c>
      <c r="C388" s="7" t="s">
        <v>145</v>
      </c>
      <c r="D388" s="7" t="s">
        <v>146</v>
      </c>
      <c r="E388" s="7" t="s">
        <v>1959</v>
      </c>
      <c r="F388" s="7" t="s">
        <v>1960</v>
      </c>
      <c r="G388" s="7" t="s">
        <v>171</v>
      </c>
      <c r="H388" s="7" t="s">
        <v>150</v>
      </c>
      <c r="I388" s="7" t="s">
        <v>1961</v>
      </c>
      <c r="J388" s="7" t="s">
        <v>1962</v>
      </c>
      <c r="K388" s="7" t="s">
        <v>153</v>
      </c>
      <c r="L388" s="7" t="s">
        <v>85</v>
      </c>
      <c r="M388" s="7" t="s">
        <v>162</v>
      </c>
      <c r="N388" s="8"/>
      <c r="O388" s="8"/>
      <c r="P388" s="8"/>
      <c r="Q388" s="8"/>
      <c r="R388" s="8"/>
      <c r="S388" s="8"/>
      <c r="T388" s="8"/>
    </row>
    <row r="389" spans="1:20" x14ac:dyDescent="0.25">
      <c r="A389">
        <v>711</v>
      </c>
      <c r="B389" t="s">
        <v>1963</v>
      </c>
      <c r="C389" t="s">
        <v>145</v>
      </c>
      <c r="D389" t="s">
        <v>145</v>
      </c>
      <c r="E389" t="s">
        <v>1964</v>
      </c>
      <c r="F389" t="s">
        <v>1965</v>
      </c>
      <c r="G389" t="s">
        <v>466</v>
      </c>
      <c r="H389" t="s">
        <v>150</v>
      </c>
      <c r="I389" t="s">
        <v>1501</v>
      </c>
      <c r="J389" t="s">
        <v>1966</v>
      </c>
      <c r="K389" t="s">
        <v>153</v>
      </c>
      <c r="L389" t="s">
        <v>85</v>
      </c>
      <c r="M389" t="s">
        <v>162</v>
      </c>
      <c r="N389" s="8"/>
      <c r="O389" s="8"/>
      <c r="P389" s="8"/>
      <c r="Q389" s="8"/>
      <c r="R389" s="8"/>
      <c r="S389" s="8"/>
      <c r="T389" s="8"/>
    </row>
    <row r="390" spans="1:20" x14ac:dyDescent="0.25">
      <c r="A390" s="7">
        <v>430</v>
      </c>
      <c r="B390" s="7" t="s">
        <v>1967</v>
      </c>
      <c r="C390" s="7" t="s">
        <v>145</v>
      </c>
      <c r="D390" s="7" t="s">
        <v>146</v>
      </c>
      <c r="E390" s="7" t="s">
        <v>1968</v>
      </c>
      <c r="F390" s="7" t="s">
        <v>1969</v>
      </c>
      <c r="G390" s="7" t="s">
        <v>198</v>
      </c>
      <c r="H390" s="7" t="s">
        <v>150</v>
      </c>
      <c r="I390" s="7" t="s">
        <v>1970</v>
      </c>
      <c r="J390" s="7" t="s">
        <v>1971</v>
      </c>
      <c r="K390" s="7" t="s">
        <v>153</v>
      </c>
      <c r="L390" s="7" t="s">
        <v>154</v>
      </c>
      <c r="M390" s="7" t="s">
        <v>145</v>
      </c>
      <c r="N390" s="8"/>
      <c r="O390" s="8"/>
      <c r="P390" s="8"/>
      <c r="Q390" s="8"/>
      <c r="R390" s="8"/>
      <c r="S390" s="8"/>
      <c r="T390" s="8"/>
    </row>
    <row r="391" spans="1:20" x14ac:dyDescent="0.25">
      <c r="A391">
        <v>684</v>
      </c>
      <c r="B391" t="s">
        <v>1967</v>
      </c>
      <c r="C391" t="s">
        <v>145</v>
      </c>
      <c r="D391" t="s">
        <v>146</v>
      </c>
      <c r="E391" t="s">
        <v>1972</v>
      </c>
      <c r="F391" t="s">
        <v>1973</v>
      </c>
      <c r="G391" t="s">
        <v>149</v>
      </c>
      <c r="H391" t="s">
        <v>150</v>
      </c>
      <c r="I391" t="s">
        <v>1974</v>
      </c>
      <c r="J391" t="s">
        <v>1975</v>
      </c>
      <c r="K391" t="s">
        <v>153</v>
      </c>
      <c r="L391" t="s">
        <v>154</v>
      </c>
      <c r="M391" t="s">
        <v>145</v>
      </c>
      <c r="N391" s="8"/>
      <c r="O391" s="8"/>
      <c r="P391" s="8"/>
      <c r="Q391" s="8"/>
      <c r="R391" s="8"/>
      <c r="S391" s="8"/>
      <c r="T391" s="8"/>
    </row>
    <row r="392" spans="1:20" x14ac:dyDescent="0.25">
      <c r="A392" s="7">
        <v>611</v>
      </c>
      <c r="B392" s="7" t="s">
        <v>1976</v>
      </c>
      <c r="C392" s="7" t="s">
        <v>145</v>
      </c>
      <c r="D392" s="7" t="s">
        <v>417</v>
      </c>
      <c r="E392" s="7" t="s">
        <v>1977</v>
      </c>
      <c r="F392" s="7" t="s">
        <v>1978</v>
      </c>
      <c r="G392" s="7" t="s">
        <v>177</v>
      </c>
      <c r="H392" s="7" t="s">
        <v>150</v>
      </c>
      <c r="I392" s="7" t="s">
        <v>1979</v>
      </c>
      <c r="J392" s="7" t="s">
        <v>1980</v>
      </c>
      <c r="K392" s="7" t="s">
        <v>153</v>
      </c>
      <c r="L392" s="7" t="s">
        <v>154</v>
      </c>
      <c r="M392" s="7" t="s">
        <v>162</v>
      </c>
      <c r="N392" s="8"/>
      <c r="O392" s="8"/>
      <c r="P392" s="8"/>
      <c r="Q392" s="8"/>
      <c r="R392" s="8"/>
      <c r="S392" s="8"/>
      <c r="T392" s="8"/>
    </row>
    <row r="393" spans="1:20" x14ac:dyDescent="0.25">
      <c r="A393">
        <v>526</v>
      </c>
      <c r="B393" t="s">
        <v>1981</v>
      </c>
      <c r="C393" t="s">
        <v>1982</v>
      </c>
      <c r="D393" t="s">
        <v>146</v>
      </c>
      <c r="E393" t="s">
        <v>1983</v>
      </c>
      <c r="F393" t="s">
        <v>1984</v>
      </c>
      <c r="G393" t="s">
        <v>183</v>
      </c>
      <c r="H393" t="s">
        <v>150</v>
      </c>
      <c r="I393" t="s">
        <v>1985</v>
      </c>
      <c r="J393" t="s">
        <v>1986</v>
      </c>
      <c r="K393" t="s">
        <v>153</v>
      </c>
      <c r="L393" t="s">
        <v>85</v>
      </c>
      <c r="M393" t="s">
        <v>145</v>
      </c>
      <c r="N393" s="8"/>
      <c r="O393" s="8"/>
      <c r="P393" s="8"/>
      <c r="Q393" s="8"/>
      <c r="R393" s="8"/>
      <c r="S393" s="8"/>
      <c r="T393" s="8"/>
    </row>
    <row r="394" spans="1:20" x14ac:dyDescent="0.25">
      <c r="A394" s="7">
        <v>525</v>
      </c>
      <c r="B394" s="7" t="s">
        <v>1981</v>
      </c>
      <c r="C394" s="7" t="s">
        <v>1982</v>
      </c>
      <c r="D394" s="7" t="s">
        <v>146</v>
      </c>
      <c r="E394" s="7" t="s">
        <v>1983</v>
      </c>
      <c r="F394" s="7" t="s">
        <v>1987</v>
      </c>
      <c r="G394" s="7" t="s">
        <v>183</v>
      </c>
      <c r="H394" s="7" t="s">
        <v>150</v>
      </c>
      <c r="I394" s="7" t="s">
        <v>1985</v>
      </c>
      <c r="J394" s="7" t="s">
        <v>1986</v>
      </c>
      <c r="K394" s="7" t="s">
        <v>153</v>
      </c>
      <c r="L394" s="7" t="s">
        <v>85</v>
      </c>
      <c r="M394" s="7" t="s">
        <v>145</v>
      </c>
      <c r="N394" s="8"/>
      <c r="O394" s="8"/>
      <c r="P394" s="8"/>
      <c r="Q394" s="8"/>
      <c r="R394" s="8"/>
      <c r="S394" s="8"/>
      <c r="T394" s="8"/>
    </row>
    <row r="395" spans="1:20" x14ac:dyDescent="0.25">
      <c r="A395">
        <v>560</v>
      </c>
      <c r="B395" t="s">
        <v>1988</v>
      </c>
      <c r="C395" t="s">
        <v>145</v>
      </c>
      <c r="D395" t="s">
        <v>146</v>
      </c>
      <c r="E395" t="s">
        <v>1989</v>
      </c>
      <c r="F395" t="s">
        <v>1990</v>
      </c>
      <c r="G395" t="s">
        <v>198</v>
      </c>
      <c r="H395" t="s">
        <v>150</v>
      </c>
      <c r="I395" t="s">
        <v>1991</v>
      </c>
      <c r="J395" t="s">
        <v>1992</v>
      </c>
      <c r="K395" t="s">
        <v>153</v>
      </c>
      <c r="L395" t="s">
        <v>85</v>
      </c>
      <c r="M395" t="s">
        <v>145</v>
      </c>
      <c r="N395" s="8"/>
      <c r="O395" s="8"/>
      <c r="P395" s="8"/>
      <c r="Q395" s="8"/>
      <c r="R395" s="8"/>
      <c r="S395" s="8"/>
      <c r="T395" s="8"/>
    </row>
    <row r="396" spans="1:20" x14ac:dyDescent="0.25">
      <c r="A396" s="7">
        <v>555</v>
      </c>
      <c r="B396" s="7" t="s">
        <v>1993</v>
      </c>
      <c r="C396" s="7" t="s">
        <v>145</v>
      </c>
      <c r="D396" s="7" t="s">
        <v>146</v>
      </c>
      <c r="E396" s="7" t="s">
        <v>1994</v>
      </c>
      <c r="F396" s="7" t="s">
        <v>1995</v>
      </c>
      <c r="G396" s="7" t="s">
        <v>198</v>
      </c>
      <c r="H396" s="7" t="s">
        <v>150</v>
      </c>
      <c r="I396" s="7" t="s">
        <v>1996</v>
      </c>
      <c r="J396" s="7" t="s">
        <v>1997</v>
      </c>
      <c r="K396" s="7" t="s">
        <v>153</v>
      </c>
      <c r="L396" s="7" t="s">
        <v>85</v>
      </c>
      <c r="M396" s="7" t="s">
        <v>145</v>
      </c>
      <c r="N396" s="8"/>
      <c r="O396" s="8"/>
      <c r="P396" s="8"/>
      <c r="Q396" s="8"/>
      <c r="R396" s="8"/>
      <c r="S396" s="8"/>
      <c r="T396" s="8"/>
    </row>
    <row r="397" spans="1:20" x14ac:dyDescent="0.25">
      <c r="A397">
        <v>424</v>
      </c>
      <c r="B397" t="s">
        <v>1998</v>
      </c>
      <c r="C397" t="s">
        <v>145</v>
      </c>
      <c r="D397" t="s">
        <v>146</v>
      </c>
      <c r="E397" t="s">
        <v>1999</v>
      </c>
      <c r="F397" t="s">
        <v>2000</v>
      </c>
      <c r="G397" t="s">
        <v>198</v>
      </c>
      <c r="H397" t="s">
        <v>150</v>
      </c>
      <c r="I397" t="s">
        <v>2001</v>
      </c>
      <c r="J397" t="s">
        <v>2002</v>
      </c>
      <c r="K397" t="s">
        <v>153</v>
      </c>
      <c r="L397" t="s">
        <v>85</v>
      </c>
      <c r="M397" t="s">
        <v>145</v>
      </c>
      <c r="N397" s="8"/>
      <c r="O397" s="8"/>
      <c r="P397" s="8"/>
      <c r="Q397" s="8"/>
      <c r="R397" s="8"/>
      <c r="S397" s="8"/>
      <c r="T397" s="8"/>
    </row>
    <row r="398" spans="1:20" x14ac:dyDescent="0.25">
      <c r="A398" s="7">
        <v>519</v>
      </c>
      <c r="B398" s="7" t="s">
        <v>2003</v>
      </c>
      <c r="C398" s="7" t="s">
        <v>145</v>
      </c>
      <c r="D398" s="7" t="s">
        <v>146</v>
      </c>
      <c r="E398" s="7" t="s">
        <v>2004</v>
      </c>
      <c r="F398" s="7" t="s">
        <v>2005</v>
      </c>
      <c r="G398" s="7" t="s">
        <v>615</v>
      </c>
      <c r="H398" s="7" t="s">
        <v>150</v>
      </c>
      <c r="I398" s="7" t="s">
        <v>2006</v>
      </c>
      <c r="J398" s="7" t="s">
        <v>2007</v>
      </c>
      <c r="K398" s="7" t="s">
        <v>153</v>
      </c>
      <c r="L398" s="7" t="s">
        <v>85</v>
      </c>
      <c r="M398" s="7" t="s">
        <v>145</v>
      </c>
      <c r="N398" s="8"/>
      <c r="O398" s="8"/>
      <c r="P398" s="8"/>
      <c r="Q398" s="8"/>
      <c r="R398" s="8"/>
      <c r="S398" s="8"/>
      <c r="T398" s="8"/>
    </row>
    <row r="399" spans="1:20" x14ac:dyDescent="0.25">
      <c r="A399">
        <v>467</v>
      </c>
      <c r="B399" t="s">
        <v>2008</v>
      </c>
      <c r="C399" t="s">
        <v>145</v>
      </c>
      <c r="D399" t="s">
        <v>146</v>
      </c>
      <c r="E399" t="s">
        <v>2009</v>
      </c>
      <c r="F399" t="s">
        <v>2010</v>
      </c>
      <c r="G399" t="s">
        <v>2011</v>
      </c>
      <c r="H399" t="s">
        <v>150</v>
      </c>
      <c r="I399" t="s">
        <v>2012</v>
      </c>
      <c r="J399" t="s">
        <v>2013</v>
      </c>
      <c r="K399" t="s">
        <v>153</v>
      </c>
      <c r="L399" t="s">
        <v>154</v>
      </c>
      <c r="M399" t="s">
        <v>162</v>
      </c>
      <c r="N399" s="8"/>
      <c r="O399" s="8"/>
      <c r="P399" s="8"/>
      <c r="Q399" s="8"/>
      <c r="R399" s="8"/>
      <c r="S399" s="8"/>
      <c r="T399" s="8"/>
    </row>
    <row r="400" spans="1:20" x14ac:dyDescent="0.25">
      <c r="A400" s="7">
        <v>558</v>
      </c>
      <c r="B400" s="7" t="s">
        <v>2014</v>
      </c>
      <c r="C400" s="7" t="s">
        <v>2015</v>
      </c>
      <c r="D400" s="7" t="s">
        <v>304</v>
      </c>
      <c r="E400" s="7" t="s">
        <v>2016</v>
      </c>
      <c r="F400" s="7" t="s">
        <v>2017</v>
      </c>
      <c r="G400" s="7" t="s">
        <v>183</v>
      </c>
      <c r="H400" s="7" t="s">
        <v>150</v>
      </c>
      <c r="I400" s="7" t="s">
        <v>2018</v>
      </c>
      <c r="J400" s="7" t="s">
        <v>2019</v>
      </c>
      <c r="K400" s="7" t="s">
        <v>153</v>
      </c>
      <c r="L400" s="7" t="s">
        <v>154</v>
      </c>
      <c r="M400" s="7" t="s">
        <v>145</v>
      </c>
      <c r="N400" s="8"/>
      <c r="O400" s="8"/>
      <c r="P400" s="8"/>
      <c r="Q400" s="8"/>
      <c r="R400" s="8"/>
      <c r="S400" s="8"/>
      <c r="T400" s="8"/>
    </row>
    <row r="401" spans="1:20" x14ac:dyDescent="0.25">
      <c r="A401">
        <v>559</v>
      </c>
      <c r="B401" t="s">
        <v>2020</v>
      </c>
      <c r="C401" t="s">
        <v>2015</v>
      </c>
      <c r="D401" t="s">
        <v>304</v>
      </c>
      <c r="E401" t="s">
        <v>2016</v>
      </c>
      <c r="F401" t="s">
        <v>2021</v>
      </c>
      <c r="G401" t="s">
        <v>183</v>
      </c>
      <c r="H401" t="s">
        <v>150</v>
      </c>
      <c r="I401" t="s">
        <v>2022</v>
      </c>
      <c r="J401" t="s">
        <v>2023</v>
      </c>
      <c r="K401" t="s">
        <v>153</v>
      </c>
      <c r="L401" t="s">
        <v>85</v>
      </c>
      <c r="M401" t="s">
        <v>145</v>
      </c>
      <c r="N401" s="8"/>
      <c r="O401" s="8"/>
      <c r="P401" s="8"/>
      <c r="Q401" s="8"/>
      <c r="R401" s="8"/>
      <c r="S401" s="8"/>
      <c r="T401" s="8"/>
    </row>
    <row r="402" spans="1:20" x14ac:dyDescent="0.25">
      <c r="A402" s="7">
        <v>506</v>
      </c>
      <c r="B402" s="7" t="s">
        <v>2024</v>
      </c>
      <c r="C402" s="7" t="s">
        <v>145</v>
      </c>
      <c r="D402" s="7" t="s">
        <v>304</v>
      </c>
      <c r="E402" s="7" t="s">
        <v>2025</v>
      </c>
      <c r="F402" s="7" t="s">
        <v>2026</v>
      </c>
      <c r="G402" s="7" t="s">
        <v>2027</v>
      </c>
      <c r="H402" s="7" t="s">
        <v>150</v>
      </c>
      <c r="I402" s="7" t="s">
        <v>2028</v>
      </c>
      <c r="J402" s="7" t="s">
        <v>2029</v>
      </c>
      <c r="K402" s="7" t="s">
        <v>153</v>
      </c>
      <c r="L402" s="7" t="s">
        <v>154</v>
      </c>
      <c r="M402" s="7" t="s">
        <v>162</v>
      </c>
      <c r="N402" s="8"/>
      <c r="O402" s="8"/>
      <c r="P402" s="8"/>
      <c r="Q402" s="8"/>
      <c r="R402" s="8"/>
      <c r="S402" s="8"/>
      <c r="T402" s="8"/>
    </row>
    <row r="403" spans="1:20" x14ac:dyDescent="0.25">
      <c r="A403">
        <v>571</v>
      </c>
      <c r="B403" t="s">
        <v>2030</v>
      </c>
      <c r="C403" t="s">
        <v>2031</v>
      </c>
      <c r="D403" t="s">
        <v>304</v>
      </c>
      <c r="E403" t="s">
        <v>2032</v>
      </c>
      <c r="F403" t="s">
        <v>2033</v>
      </c>
      <c r="G403" t="s">
        <v>598</v>
      </c>
      <c r="H403" t="s">
        <v>150</v>
      </c>
      <c r="I403" t="s">
        <v>2034</v>
      </c>
      <c r="J403" t="s">
        <v>2035</v>
      </c>
      <c r="K403" t="s">
        <v>153</v>
      </c>
      <c r="L403" t="s">
        <v>85</v>
      </c>
      <c r="M403" t="s">
        <v>162</v>
      </c>
      <c r="N403" s="8"/>
      <c r="O403" s="8"/>
      <c r="P403" s="8"/>
      <c r="Q403" s="8"/>
      <c r="R403" s="8"/>
      <c r="S403" s="8"/>
      <c r="T403" s="8"/>
    </row>
    <row r="404" spans="1:20" x14ac:dyDescent="0.25">
      <c r="A404" s="7">
        <v>572</v>
      </c>
      <c r="B404" s="7" t="s">
        <v>2036</v>
      </c>
      <c r="C404" s="7" t="s">
        <v>2031</v>
      </c>
      <c r="D404" s="7" t="s">
        <v>304</v>
      </c>
      <c r="E404" s="7" t="s">
        <v>2032</v>
      </c>
      <c r="F404" s="7" t="s">
        <v>2037</v>
      </c>
      <c r="G404" s="7" t="s">
        <v>598</v>
      </c>
      <c r="H404" s="7" t="s">
        <v>150</v>
      </c>
      <c r="I404" s="7" t="s">
        <v>2038</v>
      </c>
      <c r="J404" s="7" t="s">
        <v>605</v>
      </c>
      <c r="K404" s="7" t="s">
        <v>153</v>
      </c>
      <c r="L404" s="7" t="s">
        <v>85</v>
      </c>
      <c r="M404" s="7" t="s">
        <v>162</v>
      </c>
      <c r="N404" s="8"/>
      <c r="O404" s="8"/>
      <c r="P404" s="8"/>
      <c r="Q404" s="8"/>
      <c r="R404" s="8"/>
      <c r="S404" s="8"/>
      <c r="T404" s="8"/>
    </row>
    <row r="405" spans="1:20" x14ac:dyDescent="0.25">
      <c r="A405">
        <v>841</v>
      </c>
      <c r="B405" t="s">
        <v>2039</v>
      </c>
      <c r="C405" t="s">
        <v>145</v>
      </c>
      <c r="D405" t="s">
        <v>145</v>
      </c>
      <c r="E405" t="s">
        <v>2039</v>
      </c>
      <c r="K405" t="s">
        <v>2040</v>
      </c>
      <c r="L405" t="s">
        <v>85</v>
      </c>
      <c r="M405" t="s">
        <v>145</v>
      </c>
      <c r="N405" s="8"/>
      <c r="O405" s="8"/>
      <c r="P405" s="8"/>
      <c r="Q405" s="8"/>
      <c r="R405" s="8"/>
      <c r="S405" s="8"/>
      <c r="T405" s="8"/>
    </row>
    <row r="406" spans="1:20" x14ac:dyDescent="0.25">
      <c r="A406" s="7">
        <v>592</v>
      </c>
      <c r="B406" s="7" t="s">
        <v>2041</v>
      </c>
      <c r="C406" s="7" t="s">
        <v>145</v>
      </c>
      <c r="D406" s="7" t="s">
        <v>304</v>
      </c>
      <c r="E406" s="7" t="s">
        <v>2042</v>
      </c>
      <c r="F406" s="7" t="s">
        <v>2043</v>
      </c>
      <c r="G406" s="7" t="s">
        <v>826</v>
      </c>
      <c r="H406" s="7" t="s">
        <v>150</v>
      </c>
      <c r="I406" s="7" t="s">
        <v>2044</v>
      </c>
      <c r="J406" s="7" t="s">
        <v>2045</v>
      </c>
      <c r="K406" s="7" t="s">
        <v>153</v>
      </c>
      <c r="L406" s="7" t="s">
        <v>85</v>
      </c>
      <c r="M406" s="7" t="s">
        <v>145</v>
      </c>
      <c r="N406" s="8"/>
      <c r="O406" s="8"/>
      <c r="P406" s="8"/>
      <c r="Q406" s="8"/>
      <c r="R406" s="8"/>
      <c r="S406" s="8"/>
      <c r="T406" s="8"/>
    </row>
    <row r="407" spans="1:20" x14ac:dyDescent="0.25">
      <c r="A407">
        <v>493</v>
      </c>
      <c r="B407" t="s">
        <v>2046</v>
      </c>
      <c r="C407" t="s">
        <v>2047</v>
      </c>
      <c r="D407" t="s">
        <v>304</v>
      </c>
      <c r="E407" t="s">
        <v>2048</v>
      </c>
      <c r="F407" t="s">
        <v>2049</v>
      </c>
      <c r="G407" t="s">
        <v>1202</v>
      </c>
      <c r="H407" t="s">
        <v>150</v>
      </c>
      <c r="I407" t="s">
        <v>2050</v>
      </c>
      <c r="J407" t="s">
        <v>2051</v>
      </c>
      <c r="K407" t="s">
        <v>153</v>
      </c>
      <c r="L407" t="s">
        <v>85</v>
      </c>
      <c r="M407" t="s">
        <v>162</v>
      </c>
      <c r="N407" s="8"/>
      <c r="O407" s="8"/>
      <c r="P407" s="8"/>
      <c r="Q407" s="8"/>
      <c r="R407" s="8"/>
      <c r="S407" s="8"/>
      <c r="T407" s="8"/>
    </row>
    <row r="408" spans="1:20" x14ac:dyDescent="0.25">
      <c r="A408" s="7">
        <v>492</v>
      </c>
      <c r="B408" s="7" t="s">
        <v>2052</v>
      </c>
      <c r="C408" s="7" t="s">
        <v>2047</v>
      </c>
      <c r="D408" s="7" t="s">
        <v>304</v>
      </c>
      <c r="E408" s="7" t="s">
        <v>2053</v>
      </c>
      <c r="F408" s="7" t="s">
        <v>2054</v>
      </c>
      <c r="G408" s="7" t="s">
        <v>1202</v>
      </c>
      <c r="H408" s="7" t="s">
        <v>150</v>
      </c>
      <c r="I408" s="7" t="s">
        <v>2055</v>
      </c>
      <c r="J408" s="7" t="s">
        <v>2056</v>
      </c>
      <c r="K408" s="7" t="s">
        <v>153</v>
      </c>
      <c r="L408" s="7" t="s">
        <v>85</v>
      </c>
      <c r="M408" s="7" t="s">
        <v>145</v>
      </c>
      <c r="N408" s="8"/>
      <c r="O408" s="8"/>
      <c r="P408" s="8"/>
      <c r="Q408" s="8"/>
      <c r="R408" s="8"/>
      <c r="S408" s="8"/>
      <c r="T408" s="8"/>
    </row>
    <row r="409" spans="1:20" x14ac:dyDescent="0.25">
      <c r="A409">
        <v>536</v>
      </c>
      <c r="B409" t="s">
        <v>2057</v>
      </c>
      <c r="C409" t="s">
        <v>145</v>
      </c>
      <c r="D409" t="s">
        <v>304</v>
      </c>
      <c r="E409" t="s">
        <v>2058</v>
      </c>
      <c r="F409" t="s">
        <v>2059</v>
      </c>
      <c r="G409" t="s">
        <v>785</v>
      </c>
      <c r="H409" t="s">
        <v>150</v>
      </c>
      <c r="I409" t="s">
        <v>2060</v>
      </c>
      <c r="J409" t="s">
        <v>2061</v>
      </c>
      <c r="K409" t="s">
        <v>153</v>
      </c>
      <c r="L409" t="s">
        <v>154</v>
      </c>
      <c r="M409" t="s">
        <v>145</v>
      </c>
      <c r="N409" s="8"/>
      <c r="O409" s="8"/>
      <c r="P409" s="8"/>
      <c r="Q409" s="8"/>
      <c r="R409" s="8"/>
      <c r="S409" s="8"/>
      <c r="T409" s="8"/>
    </row>
    <row r="410" spans="1:20" x14ac:dyDescent="0.25">
      <c r="A410" s="7">
        <v>495</v>
      </c>
      <c r="B410" s="7" t="s">
        <v>2062</v>
      </c>
      <c r="C410" s="7" t="s">
        <v>145</v>
      </c>
      <c r="D410" s="7" t="s">
        <v>304</v>
      </c>
      <c r="E410" s="7" t="s">
        <v>2063</v>
      </c>
      <c r="F410" s="7" t="s">
        <v>2064</v>
      </c>
      <c r="G410" s="7" t="s">
        <v>615</v>
      </c>
      <c r="H410" s="7" t="s">
        <v>150</v>
      </c>
      <c r="I410" s="7" t="s">
        <v>1393</v>
      </c>
      <c r="J410" s="7" t="s">
        <v>2065</v>
      </c>
      <c r="K410" s="7" t="s">
        <v>153</v>
      </c>
      <c r="L410" s="7" t="s">
        <v>154</v>
      </c>
      <c r="M410" s="7" t="s">
        <v>145</v>
      </c>
      <c r="N410" s="8"/>
      <c r="O410" s="8"/>
      <c r="P410" s="8"/>
      <c r="Q410" s="8"/>
      <c r="R410" s="8"/>
      <c r="S410" s="8"/>
      <c r="T410" s="8"/>
    </row>
    <row r="411" spans="1:20" x14ac:dyDescent="0.25">
      <c r="A411">
        <v>443</v>
      </c>
      <c r="B411" t="s">
        <v>2066</v>
      </c>
      <c r="C411" t="s">
        <v>145</v>
      </c>
      <c r="D411" t="s">
        <v>304</v>
      </c>
      <c r="E411" t="s">
        <v>2067</v>
      </c>
      <c r="F411" t="s">
        <v>2068</v>
      </c>
      <c r="G411" t="s">
        <v>1116</v>
      </c>
      <c r="H411" t="s">
        <v>150</v>
      </c>
      <c r="I411" t="s">
        <v>2069</v>
      </c>
      <c r="J411" t="s">
        <v>2070</v>
      </c>
      <c r="K411" t="s">
        <v>153</v>
      </c>
      <c r="L411" t="s">
        <v>154</v>
      </c>
      <c r="M411" t="s">
        <v>162</v>
      </c>
      <c r="N411" s="8"/>
      <c r="O411" s="8"/>
      <c r="P411" s="8"/>
      <c r="Q411" s="8"/>
      <c r="R411" s="8"/>
      <c r="S411" s="8"/>
      <c r="T411" s="8"/>
    </row>
    <row r="412" spans="1:20" x14ac:dyDescent="0.25">
      <c r="A412" s="7">
        <v>585</v>
      </c>
      <c r="B412" s="7" t="s">
        <v>2071</v>
      </c>
      <c r="C412" s="7" t="s">
        <v>145</v>
      </c>
      <c r="D412" s="7" t="s">
        <v>304</v>
      </c>
      <c r="E412" s="7" t="s">
        <v>2072</v>
      </c>
      <c r="F412" s="7" t="s">
        <v>2073</v>
      </c>
      <c r="G412" s="7" t="s">
        <v>2074</v>
      </c>
      <c r="H412" s="7" t="s">
        <v>150</v>
      </c>
      <c r="I412" s="7" t="s">
        <v>2075</v>
      </c>
      <c r="J412" s="7"/>
      <c r="K412" s="7" t="s">
        <v>153</v>
      </c>
      <c r="L412" s="7" t="s">
        <v>154</v>
      </c>
      <c r="M412" s="7" t="s">
        <v>162</v>
      </c>
      <c r="N412" s="8"/>
      <c r="O412" s="8"/>
      <c r="P412" s="8"/>
      <c r="Q412" s="8"/>
      <c r="R412" s="8"/>
      <c r="S412" s="8"/>
      <c r="T412" s="8"/>
    </row>
    <row r="413" spans="1:20" x14ac:dyDescent="0.25">
      <c r="A413">
        <v>660</v>
      </c>
      <c r="B413" t="s">
        <v>2076</v>
      </c>
      <c r="C413" t="s">
        <v>2077</v>
      </c>
      <c r="D413" t="s">
        <v>304</v>
      </c>
      <c r="E413" t="s">
        <v>2078</v>
      </c>
      <c r="F413" t="s">
        <v>2079</v>
      </c>
      <c r="G413" t="s">
        <v>2080</v>
      </c>
      <c r="H413" t="s">
        <v>150</v>
      </c>
      <c r="I413" t="s">
        <v>2081</v>
      </c>
      <c r="J413" t="s">
        <v>2082</v>
      </c>
      <c r="K413" t="s">
        <v>153</v>
      </c>
      <c r="L413" t="s">
        <v>154</v>
      </c>
      <c r="M413" t="s">
        <v>145</v>
      </c>
      <c r="N413" s="8"/>
      <c r="O413" s="8"/>
      <c r="P413" s="8"/>
      <c r="Q413" s="8"/>
      <c r="R413" s="8"/>
      <c r="S413" s="8"/>
      <c r="T413" s="8"/>
    </row>
    <row r="414" spans="1:20" x14ac:dyDescent="0.25">
      <c r="A414" s="7">
        <v>695</v>
      </c>
      <c r="B414" s="7" t="s">
        <v>2083</v>
      </c>
      <c r="C414" s="7" t="s">
        <v>2077</v>
      </c>
      <c r="D414" s="7" t="s">
        <v>145</v>
      </c>
      <c r="E414" s="7" t="s">
        <v>2078</v>
      </c>
      <c r="F414" s="7" t="s">
        <v>2084</v>
      </c>
      <c r="G414" s="7" t="s">
        <v>860</v>
      </c>
      <c r="H414" s="7" t="s">
        <v>150</v>
      </c>
      <c r="I414" s="7" t="s">
        <v>2081</v>
      </c>
      <c r="J414" s="7" t="s">
        <v>2082</v>
      </c>
      <c r="K414" s="7" t="s">
        <v>153</v>
      </c>
      <c r="L414" s="7" t="s">
        <v>154</v>
      </c>
      <c r="M414" s="7" t="s">
        <v>145</v>
      </c>
      <c r="N414" s="8"/>
      <c r="O414" s="8"/>
      <c r="P414" s="8"/>
      <c r="Q414" s="8"/>
      <c r="R414" s="8"/>
      <c r="S414" s="8"/>
      <c r="T414" s="8"/>
    </row>
    <row r="415" spans="1:20" x14ac:dyDescent="0.25">
      <c r="A415">
        <v>450</v>
      </c>
      <c r="B415" t="s">
        <v>2085</v>
      </c>
      <c r="C415" t="s">
        <v>481</v>
      </c>
      <c r="D415" t="s">
        <v>304</v>
      </c>
      <c r="E415" t="s">
        <v>482</v>
      </c>
      <c r="F415" t="s">
        <v>2086</v>
      </c>
      <c r="G415" t="s">
        <v>238</v>
      </c>
      <c r="H415" t="s">
        <v>150</v>
      </c>
      <c r="I415" t="s">
        <v>2087</v>
      </c>
      <c r="J415" t="s">
        <v>2088</v>
      </c>
      <c r="K415" t="s">
        <v>153</v>
      </c>
      <c r="L415" t="s">
        <v>154</v>
      </c>
      <c r="M415" t="s">
        <v>162</v>
      </c>
      <c r="N415" s="8"/>
      <c r="O415" s="8"/>
      <c r="P415" s="8"/>
      <c r="Q415" s="8"/>
      <c r="R415" s="8"/>
      <c r="S415" s="8"/>
      <c r="T415" s="8"/>
    </row>
    <row r="416" spans="1:20" x14ac:dyDescent="0.25">
      <c r="A416" s="7">
        <v>451</v>
      </c>
      <c r="B416" s="7" t="s">
        <v>2089</v>
      </c>
      <c r="C416" s="7" t="s">
        <v>481</v>
      </c>
      <c r="D416" s="7" t="s">
        <v>304</v>
      </c>
      <c r="E416" s="7" t="s">
        <v>482</v>
      </c>
      <c r="F416" s="7" t="s">
        <v>2090</v>
      </c>
      <c r="G416" s="7" t="s">
        <v>785</v>
      </c>
      <c r="H416" s="7" t="s">
        <v>150</v>
      </c>
      <c r="I416" s="7" t="s">
        <v>2091</v>
      </c>
      <c r="J416" s="7" t="s">
        <v>2092</v>
      </c>
      <c r="K416" s="7" t="s">
        <v>153</v>
      </c>
      <c r="L416" s="7" t="s">
        <v>154</v>
      </c>
      <c r="M416" s="7" t="s">
        <v>162</v>
      </c>
      <c r="N416" s="8"/>
      <c r="O416" s="8"/>
      <c r="P416" s="8"/>
      <c r="Q416" s="8"/>
      <c r="R416" s="8"/>
      <c r="S416" s="8"/>
      <c r="T416" s="8"/>
    </row>
    <row r="417" spans="1:20" x14ac:dyDescent="0.25">
      <c r="A417">
        <v>625</v>
      </c>
      <c r="B417" t="s">
        <v>2089</v>
      </c>
      <c r="C417" t="s">
        <v>481</v>
      </c>
      <c r="D417" t="s">
        <v>304</v>
      </c>
      <c r="E417" t="s">
        <v>482</v>
      </c>
      <c r="F417" t="s">
        <v>2093</v>
      </c>
      <c r="G417" t="s">
        <v>1133</v>
      </c>
      <c r="H417" t="s">
        <v>150</v>
      </c>
      <c r="I417" t="s">
        <v>2094</v>
      </c>
      <c r="J417" t="s">
        <v>2095</v>
      </c>
      <c r="K417" t="s">
        <v>153</v>
      </c>
      <c r="L417" t="s">
        <v>154</v>
      </c>
      <c r="M417" t="s">
        <v>162</v>
      </c>
      <c r="N417" s="8"/>
      <c r="O417" s="8"/>
      <c r="P417" s="8"/>
      <c r="Q417" s="8"/>
      <c r="R417" s="8"/>
      <c r="S417" s="8"/>
      <c r="T417" s="8"/>
    </row>
    <row r="418" spans="1:20" x14ac:dyDescent="0.25">
      <c r="A418" s="7">
        <v>773</v>
      </c>
      <c r="B418" s="7" t="s">
        <v>2096</v>
      </c>
      <c r="C418" s="7" t="s">
        <v>145</v>
      </c>
      <c r="D418" s="7" t="s">
        <v>304</v>
      </c>
      <c r="E418" s="7" t="s">
        <v>2097</v>
      </c>
      <c r="F418" s="7" t="s">
        <v>2098</v>
      </c>
      <c r="G418" s="7" t="s">
        <v>2099</v>
      </c>
      <c r="H418" s="7" t="s">
        <v>150</v>
      </c>
      <c r="I418" s="7" t="s">
        <v>2100</v>
      </c>
      <c r="J418" s="7" t="s">
        <v>2101</v>
      </c>
      <c r="K418" s="7" t="s">
        <v>153</v>
      </c>
      <c r="L418" s="7" t="s">
        <v>154</v>
      </c>
      <c r="M418" s="7" t="s">
        <v>162</v>
      </c>
      <c r="N418" s="8"/>
      <c r="O418" s="8"/>
      <c r="P418" s="8"/>
      <c r="Q418" s="8"/>
      <c r="R418" s="8"/>
      <c r="S418" s="8"/>
      <c r="T418" s="8"/>
    </row>
    <row r="419" spans="1:20" x14ac:dyDescent="0.25">
      <c r="A419">
        <v>720</v>
      </c>
      <c r="B419" t="s">
        <v>2102</v>
      </c>
      <c r="C419" t="s">
        <v>2103</v>
      </c>
      <c r="D419" t="s">
        <v>304</v>
      </c>
      <c r="E419" t="s">
        <v>2104</v>
      </c>
      <c r="F419" t="s">
        <v>2105</v>
      </c>
      <c r="G419" t="s">
        <v>2106</v>
      </c>
      <c r="H419" t="s">
        <v>150</v>
      </c>
      <c r="I419" t="s">
        <v>2107</v>
      </c>
      <c r="J419" t="s">
        <v>2108</v>
      </c>
      <c r="K419" t="s">
        <v>153</v>
      </c>
      <c r="L419" t="s">
        <v>154</v>
      </c>
      <c r="M419" t="s">
        <v>162</v>
      </c>
      <c r="N419" s="8"/>
      <c r="O419" s="8"/>
      <c r="P419" s="8"/>
      <c r="Q419" s="8"/>
      <c r="R419" s="8"/>
      <c r="S419" s="8"/>
      <c r="T419" s="8"/>
    </row>
    <row r="420" spans="1:20" x14ac:dyDescent="0.25">
      <c r="A420" s="7">
        <v>767</v>
      </c>
      <c r="B420" s="7" t="s">
        <v>2109</v>
      </c>
      <c r="C420" s="7" t="s">
        <v>145</v>
      </c>
      <c r="D420" s="7" t="s">
        <v>145</v>
      </c>
      <c r="E420" s="7" t="s">
        <v>2110</v>
      </c>
      <c r="F420" s="7" t="s">
        <v>2111</v>
      </c>
      <c r="G420" s="7" t="s">
        <v>1936</v>
      </c>
      <c r="H420" s="7" t="s">
        <v>215</v>
      </c>
      <c r="I420" s="7" t="s">
        <v>2107</v>
      </c>
      <c r="J420" s="7"/>
      <c r="K420" s="7" t="s">
        <v>153</v>
      </c>
      <c r="L420" s="7" t="s">
        <v>154</v>
      </c>
      <c r="M420" s="7" t="s">
        <v>162</v>
      </c>
      <c r="N420" s="8"/>
      <c r="O420" s="8"/>
      <c r="P420" s="8"/>
      <c r="Q420" s="8"/>
      <c r="R420" s="8"/>
      <c r="S420" s="8"/>
      <c r="T420" s="8"/>
    </row>
    <row r="421" spans="1:20" x14ac:dyDescent="0.25">
      <c r="A421">
        <v>722</v>
      </c>
      <c r="B421" t="s">
        <v>2112</v>
      </c>
      <c r="C421" t="s">
        <v>2103</v>
      </c>
      <c r="D421" t="s">
        <v>304</v>
      </c>
      <c r="E421" t="s">
        <v>2104</v>
      </c>
      <c r="F421" t="s">
        <v>2113</v>
      </c>
      <c r="G421" t="s">
        <v>2114</v>
      </c>
      <c r="H421" t="s">
        <v>150</v>
      </c>
      <c r="I421" t="s">
        <v>2107</v>
      </c>
      <c r="J421" t="s">
        <v>2108</v>
      </c>
      <c r="K421" t="s">
        <v>153</v>
      </c>
      <c r="L421" t="s">
        <v>154</v>
      </c>
      <c r="M421" t="s">
        <v>162</v>
      </c>
      <c r="N421" s="8"/>
      <c r="O421" s="8"/>
      <c r="P421" s="8"/>
      <c r="Q421" s="8"/>
      <c r="R421" s="8"/>
      <c r="S421" s="8"/>
      <c r="T421" s="8"/>
    </row>
    <row r="422" spans="1:20" x14ac:dyDescent="0.25">
      <c r="A422" s="7">
        <v>721</v>
      </c>
      <c r="B422" s="7" t="s">
        <v>2115</v>
      </c>
      <c r="C422" s="7" t="s">
        <v>2103</v>
      </c>
      <c r="D422" s="7" t="s">
        <v>304</v>
      </c>
      <c r="E422" s="7" t="s">
        <v>2104</v>
      </c>
      <c r="F422" s="7" t="s">
        <v>2116</v>
      </c>
      <c r="G422" s="7" t="s">
        <v>2117</v>
      </c>
      <c r="H422" s="7" t="s">
        <v>150</v>
      </c>
      <c r="I422" s="7" t="s">
        <v>2107</v>
      </c>
      <c r="J422" s="7" t="s">
        <v>2118</v>
      </c>
      <c r="K422" s="7" t="s">
        <v>153</v>
      </c>
      <c r="L422" s="7" t="s">
        <v>154</v>
      </c>
      <c r="M422" s="7" t="s">
        <v>162</v>
      </c>
      <c r="N422" s="8"/>
      <c r="O422" s="8"/>
      <c r="P422" s="8"/>
      <c r="Q422" s="8"/>
      <c r="R422" s="8"/>
      <c r="S422" s="8"/>
      <c r="T422" s="8"/>
    </row>
    <row r="423" spans="1:20" x14ac:dyDescent="0.25">
      <c r="A423">
        <v>837</v>
      </c>
      <c r="B423" t="s">
        <v>2119</v>
      </c>
      <c r="C423" t="s">
        <v>2103</v>
      </c>
      <c r="D423" t="s">
        <v>145</v>
      </c>
      <c r="E423" t="s">
        <v>2104</v>
      </c>
      <c r="F423" t="s">
        <v>2120</v>
      </c>
      <c r="G423" t="s">
        <v>2121</v>
      </c>
      <c r="H423" t="s">
        <v>150</v>
      </c>
      <c r="J423" t="s">
        <v>2122</v>
      </c>
      <c r="K423" t="s">
        <v>153</v>
      </c>
      <c r="L423" t="s">
        <v>154</v>
      </c>
      <c r="M423" t="s">
        <v>162</v>
      </c>
      <c r="N423" s="8"/>
      <c r="O423" s="8"/>
      <c r="P423" s="8"/>
      <c r="Q423" s="8"/>
      <c r="R423" s="8"/>
      <c r="S423" s="8"/>
      <c r="T423" s="8"/>
    </row>
    <row r="424" spans="1:20" x14ac:dyDescent="0.25">
      <c r="A424" s="7">
        <v>457</v>
      </c>
      <c r="B424" s="7" t="s">
        <v>2123</v>
      </c>
      <c r="C424" s="7" t="s">
        <v>145</v>
      </c>
      <c r="D424" s="7" t="s">
        <v>304</v>
      </c>
      <c r="E424" s="7" t="s">
        <v>2124</v>
      </c>
      <c r="F424" s="7" t="s">
        <v>2125</v>
      </c>
      <c r="G424" s="7" t="s">
        <v>2126</v>
      </c>
      <c r="H424" s="7" t="s">
        <v>150</v>
      </c>
      <c r="I424" s="7" t="s">
        <v>2127</v>
      </c>
      <c r="J424" s="7" t="s">
        <v>2128</v>
      </c>
      <c r="K424" s="7" t="s">
        <v>153</v>
      </c>
      <c r="L424" s="7" t="s">
        <v>154</v>
      </c>
      <c r="M424" s="7" t="s">
        <v>162</v>
      </c>
      <c r="N424" s="8"/>
      <c r="O424" s="8"/>
      <c r="P424" s="8"/>
      <c r="Q424" s="8"/>
      <c r="R424" s="8"/>
      <c r="S424" s="8"/>
      <c r="T424" s="8"/>
    </row>
    <row r="425" spans="1:20" x14ac:dyDescent="0.25">
      <c r="A425">
        <v>548</v>
      </c>
      <c r="B425" t="s">
        <v>2129</v>
      </c>
      <c r="C425" t="s">
        <v>481</v>
      </c>
      <c r="D425" t="s">
        <v>304</v>
      </c>
      <c r="E425" t="s">
        <v>482</v>
      </c>
      <c r="F425" t="s">
        <v>2130</v>
      </c>
      <c r="G425" t="s">
        <v>2131</v>
      </c>
      <c r="H425" t="s">
        <v>150</v>
      </c>
      <c r="I425" t="s">
        <v>2132</v>
      </c>
      <c r="J425" t="s">
        <v>2133</v>
      </c>
      <c r="K425" t="s">
        <v>153</v>
      </c>
      <c r="L425" t="s">
        <v>154</v>
      </c>
      <c r="M425" t="s">
        <v>162</v>
      </c>
      <c r="N425" s="8"/>
      <c r="O425" s="8"/>
      <c r="P425" s="8"/>
      <c r="Q425" s="8"/>
      <c r="R425" s="8"/>
      <c r="S425" s="8"/>
      <c r="T425" s="8"/>
    </row>
    <row r="426" spans="1:20" x14ac:dyDescent="0.25">
      <c r="A426" s="7">
        <v>469</v>
      </c>
      <c r="B426" s="7" t="s">
        <v>2134</v>
      </c>
      <c r="C426" s="7" t="s">
        <v>2135</v>
      </c>
      <c r="D426" s="7" t="s">
        <v>304</v>
      </c>
      <c r="E426" s="7" t="s">
        <v>2136</v>
      </c>
      <c r="F426" s="7" t="s">
        <v>2137</v>
      </c>
      <c r="G426" s="7" t="s">
        <v>502</v>
      </c>
      <c r="H426" s="7" t="s">
        <v>150</v>
      </c>
      <c r="I426" s="7" t="s">
        <v>2138</v>
      </c>
      <c r="J426" s="7" t="s">
        <v>2139</v>
      </c>
      <c r="K426" s="7" t="s">
        <v>153</v>
      </c>
      <c r="L426" s="7" t="s">
        <v>154</v>
      </c>
      <c r="M426" s="7" t="s">
        <v>162</v>
      </c>
      <c r="N426" s="8"/>
      <c r="O426" s="8"/>
      <c r="P426" s="8"/>
      <c r="Q426" s="8"/>
      <c r="R426" s="8"/>
      <c r="S426" s="8"/>
      <c r="T426" s="8"/>
    </row>
    <row r="427" spans="1:20" x14ac:dyDescent="0.25">
      <c r="A427">
        <v>472</v>
      </c>
      <c r="B427" t="s">
        <v>2140</v>
      </c>
      <c r="C427" t="s">
        <v>2135</v>
      </c>
      <c r="D427" t="s">
        <v>304</v>
      </c>
      <c r="E427" t="s">
        <v>2136</v>
      </c>
      <c r="F427" t="s">
        <v>2141</v>
      </c>
      <c r="G427" t="s">
        <v>502</v>
      </c>
      <c r="H427" t="s">
        <v>150</v>
      </c>
      <c r="I427" t="s">
        <v>2138</v>
      </c>
      <c r="J427" t="s">
        <v>2139</v>
      </c>
      <c r="K427" t="s">
        <v>153</v>
      </c>
      <c r="L427" t="s">
        <v>154</v>
      </c>
      <c r="M427" t="s">
        <v>162</v>
      </c>
      <c r="N427" s="8"/>
      <c r="O427" s="8"/>
      <c r="P427" s="8"/>
      <c r="Q427" s="8"/>
      <c r="R427" s="8"/>
      <c r="S427" s="8"/>
      <c r="T427" s="8"/>
    </row>
    <row r="428" spans="1:20" x14ac:dyDescent="0.25">
      <c r="A428" s="7">
        <v>471</v>
      </c>
      <c r="B428" s="7" t="s">
        <v>2142</v>
      </c>
      <c r="C428" s="7" t="s">
        <v>2135</v>
      </c>
      <c r="D428" s="7" t="s">
        <v>304</v>
      </c>
      <c r="E428" s="7" t="s">
        <v>2136</v>
      </c>
      <c r="F428" s="7" t="s">
        <v>2143</v>
      </c>
      <c r="G428" s="7" t="s">
        <v>502</v>
      </c>
      <c r="H428" s="7" t="s">
        <v>150</v>
      </c>
      <c r="I428" s="7" t="s">
        <v>2138</v>
      </c>
      <c r="J428" s="7" t="s">
        <v>2139</v>
      </c>
      <c r="K428" s="7" t="s">
        <v>153</v>
      </c>
      <c r="L428" s="7" t="s">
        <v>154</v>
      </c>
      <c r="M428" s="7" t="s">
        <v>162</v>
      </c>
      <c r="N428" s="8"/>
      <c r="O428" s="8"/>
      <c r="P428" s="8"/>
      <c r="Q428" s="8"/>
      <c r="R428" s="8"/>
      <c r="S428" s="8"/>
      <c r="T428" s="8"/>
    </row>
    <row r="429" spans="1:20" x14ac:dyDescent="0.25">
      <c r="A429">
        <v>470</v>
      </c>
      <c r="B429" t="s">
        <v>2144</v>
      </c>
      <c r="C429" t="s">
        <v>2135</v>
      </c>
      <c r="D429" t="s">
        <v>304</v>
      </c>
      <c r="E429" t="s">
        <v>2136</v>
      </c>
      <c r="F429" t="s">
        <v>2145</v>
      </c>
      <c r="G429" t="s">
        <v>502</v>
      </c>
      <c r="H429" t="s">
        <v>150</v>
      </c>
      <c r="I429" t="s">
        <v>2138</v>
      </c>
      <c r="J429" t="s">
        <v>2139</v>
      </c>
      <c r="K429" t="s">
        <v>153</v>
      </c>
      <c r="L429" t="s">
        <v>154</v>
      </c>
      <c r="M429" t="s">
        <v>145</v>
      </c>
      <c r="N429" s="8"/>
      <c r="O429" s="8"/>
      <c r="P429" s="8"/>
      <c r="Q429" s="8"/>
      <c r="R429" s="8"/>
      <c r="S429" s="8"/>
      <c r="T429" s="8"/>
    </row>
    <row r="430" spans="1:20" x14ac:dyDescent="0.25">
      <c r="A430" s="7">
        <v>476</v>
      </c>
      <c r="B430" s="7" t="s">
        <v>2146</v>
      </c>
      <c r="C430" s="7" t="s">
        <v>2135</v>
      </c>
      <c r="D430" s="7" t="s">
        <v>304</v>
      </c>
      <c r="E430" s="7" t="s">
        <v>2136</v>
      </c>
      <c r="F430" s="7" t="s">
        <v>2147</v>
      </c>
      <c r="G430" s="7" t="s">
        <v>2148</v>
      </c>
      <c r="H430" s="7" t="s">
        <v>150</v>
      </c>
      <c r="I430" s="7" t="s">
        <v>2149</v>
      </c>
      <c r="J430" s="7" t="s">
        <v>2139</v>
      </c>
      <c r="K430" s="7" t="s">
        <v>153</v>
      </c>
      <c r="L430" s="7" t="s">
        <v>154</v>
      </c>
      <c r="M430" s="7" t="s">
        <v>162</v>
      </c>
      <c r="N430" s="8"/>
      <c r="O430" s="8"/>
      <c r="P430" s="8"/>
      <c r="Q430" s="8"/>
      <c r="R430" s="8"/>
      <c r="S430" s="8"/>
      <c r="T430" s="8"/>
    </row>
    <row r="431" spans="1:20" x14ac:dyDescent="0.25">
      <c r="A431">
        <v>866</v>
      </c>
      <c r="B431" t="s">
        <v>2150</v>
      </c>
      <c r="C431" t="s">
        <v>2135</v>
      </c>
      <c r="D431" t="s">
        <v>145</v>
      </c>
      <c r="E431" t="s">
        <v>2151</v>
      </c>
      <c r="F431" t="s">
        <v>2152</v>
      </c>
      <c r="G431" t="s">
        <v>2153</v>
      </c>
      <c r="H431" t="s">
        <v>150</v>
      </c>
      <c r="I431" t="s">
        <v>2154</v>
      </c>
      <c r="J431" t="s">
        <v>2155</v>
      </c>
      <c r="K431" t="s">
        <v>153</v>
      </c>
      <c r="L431" t="s">
        <v>154</v>
      </c>
      <c r="M431" t="s">
        <v>162</v>
      </c>
      <c r="N431" s="8"/>
      <c r="O431" s="8"/>
      <c r="P431" s="8"/>
      <c r="Q431" s="8"/>
      <c r="R431" s="8"/>
      <c r="S431" s="8"/>
      <c r="T431" s="8"/>
    </row>
    <row r="432" spans="1:20" x14ac:dyDescent="0.25">
      <c r="A432" s="7">
        <v>473</v>
      </c>
      <c r="B432" s="7" t="s">
        <v>2156</v>
      </c>
      <c r="C432" s="7" t="s">
        <v>2135</v>
      </c>
      <c r="D432" s="7" t="s">
        <v>304</v>
      </c>
      <c r="E432" s="7" t="s">
        <v>2136</v>
      </c>
      <c r="F432" s="7" t="s">
        <v>2157</v>
      </c>
      <c r="G432" s="7" t="s">
        <v>502</v>
      </c>
      <c r="H432" s="7" t="s">
        <v>150</v>
      </c>
      <c r="I432" s="7" t="s">
        <v>2158</v>
      </c>
      <c r="J432" s="7" t="s">
        <v>2139</v>
      </c>
      <c r="K432" s="7" t="s">
        <v>153</v>
      </c>
      <c r="L432" s="7" t="s">
        <v>154</v>
      </c>
      <c r="M432" s="7" t="s">
        <v>162</v>
      </c>
      <c r="N432" s="8"/>
      <c r="O432" s="8"/>
      <c r="P432" s="8"/>
      <c r="Q432" s="8"/>
      <c r="R432" s="8"/>
      <c r="S432" s="8"/>
      <c r="T432" s="8"/>
    </row>
    <row r="433" spans="1:20" x14ac:dyDescent="0.25">
      <c r="A433">
        <v>871</v>
      </c>
      <c r="B433" t="s">
        <v>2159</v>
      </c>
      <c r="C433" t="s">
        <v>2160</v>
      </c>
      <c r="D433" t="s">
        <v>304</v>
      </c>
      <c r="E433" t="s">
        <v>2161</v>
      </c>
      <c r="F433" t="s">
        <v>2162</v>
      </c>
      <c r="G433" t="s">
        <v>2163</v>
      </c>
      <c r="H433" t="s">
        <v>150</v>
      </c>
      <c r="I433" t="s">
        <v>2164</v>
      </c>
      <c r="J433" t="s">
        <v>2165</v>
      </c>
      <c r="K433" t="s">
        <v>153</v>
      </c>
      <c r="L433" t="s">
        <v>154</v>
      </c>
      <c r="M433" t="s">
        <v>162</v>
      </c>
      <c r="N433" s="8"/>
      <c r="O433" s="8"/>
      <c r="P433" s="8"/>
      <c r="Q433" s="8"/>
      <c r="R433" s="8"/>
      <c r="S433" s="8"/>
      <c r="T433" s="8"/>
    </row>
    <row r="434" spans="1:20" x14ac:dyDescent="0.25">
      <c r="A434" s="7">
        <v>359</v>
      </c>
      <c r="B434" s="7" t="s">
        <v>2166</v>
      </c>
      <c r="C434" s="7" t="s">
        <v>2160</v>
      </c>
      <c r="D434" s="7" t="s">
        <v>304</v>
      </c>
      <c r="E434" s="7" t="s">
        <v>2167</v>
      </c>
      <c r="F434" s="7" t="s">
        <v>2168</v>
      </c>
      <c r="G434" s="7" t="s">
        <v>2169</v>
      </c>
      <c r="H434" s="7" t="s">
        <v>150</v>
      </c>
      <c r="I434" s="7" t="s">
        <v>2170</v>
      </c>
      <c r="J434" s="7" t="s">
        <v>2171</v>
      </c>
      <c r="K434" s="7" t="s">
        <v>153</v>
      </c>
      <c r="L434" s="7" t="s">
        <v>154</v>
      </c>
      <c r="M434" s="7" t="s">
        <v>145</v>
      </c>
      <c r="N434" s="8"/>
      <c r="O434" s="8"/>
      <c r="P434" s="8"/>
      <c r="Q434" s="8"/>
      <c r="R434" s="8"/>
      <c r="S434" s="8"/>
      <c r="T434" s="8"/>
    </row>
    <row r="435" spans="1:20" x14ac:dyDescent="0.25">
      <c r="A435">
        <v>576</v>
      </c>
      <c r="B435" t="s">
        <v>2172</v>
      </c>
      <c r="C435" t="s">
        <v>1615</v>
      </c>
      <c r="D435" t="s">
        <v>304</v>
      </c>
      <c r="E435" t="s">
        <v>1616</v>
      </c>
      <c r="F435" t="s">
        <v>2173</v>
      </c>
      <c r="G435" t="s">
        <v>2174</v>
      </c>
      <c r="H435" t="s">
        <v>150</v>
      </c>
      <c r="I435" t="s">
        <v>2175</v>
      </c>
      <c r="J435" t="s">
        <v>1619</v>
      </c>
      <c r="K435" t="s">
        <v>153</v>
      </c>
      <c r="L435" t="s">
        <v>154</v>
      </c>
      <c r="M435" t="s">
        <v>162</v>
      </c>
      <c r="N435" s="8"/>
      <c r="O435" s="8"/>
      <c r="P435" s="8"/>
      <c r="Q435" s="8"/>
      <c r="R435" s="8"/>
      <c r="S435" s="8"/>
      <c r="T435" s="8"/>
    </row>
    <row r="436" spans="1:20" x14ac:dyDescent="0.25">
      <c r="A436" s="7">
        <v>779</v>
      </c>
      <c r="B436" s="7" t="s">
        <v>2176</v>
      </c>
      <c r="C436" s="7" t="s">
        <v>145</v>
      </c>
      <c r="D436" s="7" t="s">
        <v>145</v>
      </c>
      <c r="E436" s="7" t="s">
        <v>2177</v>
      </c>
      <c r="F436" s="7" t="s">
        <v>2178</v>
      </c>
      <c r="G436" s="7" t="s">
        <v>970</v>
      </c>
      <c r="H436" s="7" t="s">
        <v>150</v>
      </c>
      <c r="I436" s="7" t="s">
        <v>2179</v>
      </c>
      <c r="J436" s="7" t="s">
        <v>2180</v>
      </c>
      <c r="K436" s="7" t="s">
        <v>153</v>
      </c>
      <c r="L436" s="7" t="s">
        <v>154</v>
      </c>
      <c r="M436" s="7" t="s">
        <v>162</v>
      </c>
      <c r="N436" s="8"/>
      <c r="O436" s="8"/>
      <c r="P436" s="8"/>
      <c r="Q436" s="8"/>
      <c r="R436" s="8"/>
      <c r="S436" s="8"/>
      <c r="T436" s="8"/>
    </row>
    <row r="437" spans="1:20" x14ac:dyDescent="0.25">
      <c r="A437">
        <v>626</v>
      </c>
      <c r="B437" t="s">
        <v>2181</v>
      </c>
      <c r="C437" t="s">
        <v>145</v>
      </c>
      <c r="D437" t="s">
        <v>304</v>
      </c>
      <c r="E437" t="s">
        <v>2182</v>
      </c>
      <c r="F437" t="s">
        <v>2183</v>
      </c>
      <c r="G437" t="s">
        <v>2184</v>
      </c>
      <c r="H437" t="s">
        <v>150</v>
      </c>
      <c r="I437" t="s">
        <v>2185</v>
      </c>
      <c r="J437" t="s">
        <v>2186</v>
      </c>
      <c r="K437" t="s">
        <v>153</v>
      </c>
      <c r="L437" t="s">
        <v>154</v>
      </c>
      <c r="M437" t="s">
        <v>162</v>
      </c>
      <c r="N437" s="8"/>
      <c r="O437" s="8"/>
      <c r="P437" s="8"/>
      <c r="Q437" s="8"/>
      <c r="R437" s="8"/>
      <c r="S437" s="8"/>
      <c r="T437" s="8"/>
    </row>
    <row r="438" spans="1:20" x14ac:dyDescent="0.25">
      <c r="A438" s="7">
        <v>587</v>
      </c>
      <c r="B438" s="7" t="s">
        <v>2187</v>
      </c>
      <c r="C438" s="7" t="s">
        <v>145</v>
      </c>
      <c r="D438" s="7" t="s">
        <v>304</v>
      </c>
      <c r="E438" s="7" t="s">
        <v>2188</v>
      </c>
      <c r="F438" s="7" t="s">
        <v>2189</v>
      </c>
      <c r="G438" s="7" t="s">
        <v>829</v>
      </c>
      <c r="H438" s="7" t="s">
        <v>150</v>
      </c>
      <c r="I438" s="7" t="s">
        <v>2190</v>
      </c>
      <c r="J438" s="7" t="s">
        <v>2191</v>
      </c>
      <c r="K438" s="7" t="s">
        <v>153</v>
      </c>
      <c r="L438" s="7" t="s">
        <v>154</v>
      </c>
      <c r="M438" s="7" t="s">
        <v>145</v>
      </c>
      <c r="N438" s="8"/>
      <c r="O438" s="8"/>
      <c r="P438" s="8"/>
      <c r="Q438" s="8"/>
      <c r="R438" s="8"/>
      <c r="S438" s="8"/>
      <c r="T438" s="8"/>
    </row>
    <row r="439" spans="1:20" x14ac:dyDescent="0.25">
      <c r="A439">
        <v>593</v>
      </c>
      <c r="B439" t="s">
        <v>2192</v>
      </c>
      <c r="C439" t="s">
        <v>145</v>
      </c>
      <c r="D439" t="s">
        <v>304</v>
      </c>
      <c r="E439" t="s">
        <v>2193</v>
      </c>
      <c r="F439" t="s">
        <v>2194</v>
      </c>
      <c r="G439" t="s">
        <v>183</v>
      </c>
      <c r="H439" t="s">
        <v>150</v>
      </c>
      <c r="I439" t="s">
        <v>2195</v>
      </c>
      <c r="J439" t="s">
        <v>2196</v>
      </c>
      <c r="K439" t="s">
        <v>153</v>
      </c>
      <c r="L439" t="s">
        <v>154</v>
      </c>
      <c r="M439" t="s">
        <v>162</v>
      </c>
      <c r="N439" s="8"/>
      <c r="O439" s="8"/>
      <c r="P439" s="8"/>
      <c r="Q439" s="8"/>
      <c r="R439" s="8"/>
      <c r="S439" s="8"/>
      <c r="T439" s="8"/>
    </row>
    <row r="440" spans="1:20" x14ac:dyDescent="0.25">
      <c r="A440" s="7">
        <v>697</v>
      </c>
      <c r="B440" s="7" t="s">
        <v>2197</v>
      </c>
      <c r="C440" s="7" t="s">
        <v>2103</v>
      </c>
      <c r="D440" s="7" t="s">
        <v>304</v>
      </c>
      <c r="E440" s="7" t="s">
        <v>2104</v>
      </c>
      <c r="F440" s="7" t="s">
        <v>2198</v>
      </c>
      <c r="G440" s="7" t="s">
        <v>2117</v>
      </c>
      <c r="H440" s="7" t="s">
        <v>150</v>
      </c>
      <c r="I440" s="7" t="s">
        <v>2107</v>
      </c>
      <c r="J440" s="7" t="s">
        <v>2108</v>
      </c>
      <c r="K440" s="7" t="s">
        <v>153</v>
      </c>
      <c r="L440" s="7" t="s">
        <v>154</v>
      </c>
      <c r="M440" s="7" t="s">
        <v>162</v>
      </c>
      <c r="N440" s="8"/>
      <c r="O440" s="8"/>
      <c r="P440" s="8"/>
      <c r="Q440" s="8"/>
      <c r="R440" s="8"/>
      <c r="S440" s="8"/>
      <c r="T440" s="8"/>
    </row>
    <row r="441" spans="1:20" x14ac:dyDescent="0.25">
      <c r="A441">
        <v>617</v>
      </c>
      <c r="B441" t="s">
        <v>2199</v>
      </c>
      <c r="C441" t="s">
        <v>2200</v>
      </c>
      <c r="D441" t="s">
        <v>304</v>
      </c>
      <c r="E441" t="s">
        <v>2201</v>
      </c>
      <c r="F441" t="s">
        <v>2202</v>
      </c>
      <c r="G441" t="s">
        <v>2203</v>
      </c>
      <c r="H441" t="s">
        <v>150</v>
      </c>
      <c r="I441" t="s">
        <v>2204</v>
      </c>
      <c r="J441" t="s">
        <v>2205</v>
      </c>
      <c r="K441" t="s">
        <v>153</v>
      </c>
      <c r="L441" t="s">
        <v>154</v>
      </c>
      <c r="M441" t="s">
        <v>145</v>
      </c>
      <c r="N441" s="8"/>
      <c r="O441" s="8"/>
      <c r="P441" s="8"/>
      <c r="Q441" s="8"/>
      <c r="R441" s="8"/>
      <c r="S441" s="8"/>
      <c r="T441" s="8"/>
    </row>
    <row r="442" spans="1:20" x14ac:dyDescent="0.25">
      <c r="A442" s="7">
        <v>616</v>
      </c>
      <c r="B442" s="7" t="s">
        <v>2206</v>
      </c>
      <c r="C442" s="7" t="s">
        <v>2200</v>
      </c>
      <c r="D442" s="7" t="s">
        <v>304</v>
      </c>
      <c r="E442" s="7" t="s">
        <v>2201</v>
      </c>
      <c r="F442" s="7" t="s">
        <v>2207</v>
      </c>
      <c r="G442" s="7" t="s">
        <v>1237</v>
      </c>
      <c r="H442" s="7" t="s">
        <v>150</v>
      </c>
      <c r="I442" s="7" t="s">
        <v>2208</v>
      </c>
      <c r="J442" s="7" t="s">
        <v>2209</v>
      </c>
      <c r="K442" s="7" t="s">
        <v>153</v>
      </c>
      <c r="L442" s="7" t="s">
        <v>154</v>
      </c>
      <c r="M442" s="7" t="s">
        <v>145</v>
      </c>
      <c r="N442" s="8"/>
      <c r="O442" s="8"/>
      <c r="P442" s="8"/>
      <c r="Q442" s="8"/>
      <c r="R442" s="8"/>
      <c r="S442" s="8"/>
      <c r="T442" s="8"/>
    </row>
    <row r="443" spans="1:20" x14ac:dyDescent="0.25">
      <c r="A443">
        <v>733</v>
      </c>
      <c r="B443" t="s">
        <v>2210</v>
      </c>
      <c r="C443" t="s">
        <v>1615</v>
      </c>
      <c r="D443" t="s">
        <v>304</v>
      </c>
      <c r="E443" t="s">
        <v>1616</v>
      </c>
      <c r="F443" t="s">
        <v>2211</v>
      </c>
      <c r="G443" t="s">
        <v>1237</v>
      </c>
      <c r="H443" t="s">
        <v>150</v>
      </c>
      <c r="I443" t="s">
        <v>2212</v>
      </c>
      <c r="J443" t="s">
        <v>1619</v>
      </c>
      <c r="K443" t="s">
        <v>153</v>
      </c>
      <c r="L443" t="s">
        <v>154</v>
      </c>
      <c r="M443" t="s">
        <v>162</v>
      </c>
      <c r="N443" s="8"/>
      <c r="O443" s="8"/>
      <c r="P443" s="8"/>
      <c r="Q443" s="8"/>
      <c r="R443" s="8"/>
      <c r="S443" s="8"/>
      <c r="T443" s="8"/>
    </row>
    <row r="444" spans="1:20" x14ac:dyDescent="0.25">
      <c r="A444" s="7">
        <v>645</v>
      </c>
      <c r="B444" s="7" t="s">
        <v>2213</v>
      </c>
      <c r="C444" s="7" t="s">
        <v>1615</v>
      </c>
      <c r="D444" s="7" t="s">
        <v>304</v>
      </c>
      <c r="E444" s="7" t="s">
        <v>1616</v>
      </c>
      <c r="F444" s="7" t="s">
        <v>2214</v>
      </c>
      <c r="G444" s="7" t="s">
        <v>2215</v>
      </c>
      <c r="H444" s="7" t="s">
        <v>150</v>
      </c>
      <c r="I444" s="7" t="s">
        <v>2175</v>
      </c>
      <c r="J444" s="7" t="s">
        <v>2216</v>
      </c>
      <c r="K444" s="7" t="s">
        <v>153</v>
      </c>
      <c r="L444" s="7" t="s">
        <v>154</v>
      </c>
      <c r="M444" s="7" t="s">
        <v>162</v>
      </c>
      <c r="N444" s="8"/>
      <c r="O444" s="8"/>
      <c r="P444" s="8"/>
      <c r="Q444" s="8"/>
      <c r="R444" s="8"/>
      <c r="S444" s="8"/>
      <c r="T444" s="8"/>
    </row>
    <row r="445" spans="1:20" x14ac:dyDescent="0.25">
      <c r="A445">
        <v>658</v>
      </c>
      <c r="B445" t="s">
        <v>2217</v>
      </c>
      <c r="C445" t="s">
        <v>1615</v>
      </c>
      <c r="D445" t="s">
        <v>304</v>
      </c>
      <c r="E445" t="s">
        <v>1616</v>
      </c>
      <c r="F445" t="s">
        <v>2218</v>
      </c>
      <c r="G445" t="s">
        <v>2174</v>
      </c>
      <c r="H445" t="s">
        <v>150</v>
      </c>
      <c r="I445" t="s">
        <v>2212</v>
      </c>
      <c r="J445" t="s">
        <v>2216</v>
      </c>
      <c r="K445" t="s">
        <v>153</v>
      </c>
      <c r="L445" t="s">
        <v>154</v>
      </c>
      <c r="M445" t="s">
        <v>162</v>
      </c>
      <c r="N445" s="8"/>
      <c r="O445" s="8"/>
      <c r="P445" s="8"/>
      <c r="Q445" s="8"/>
      <c r="R445" s="8"/>
      <c r="S445" s="8"/>
      <c r="T445" s="8"/>
    </row>
    <row r="446" spans="1:20" x14ac:dyDescent="0.25">
      <c r="A446" s="7">
        <v>539</v>
      </c>
      <c r="B446" s="7" t="s">
        <v>2219</v>
      </c>
      <c r="C446" s="7" t="s">
        <v>145</v>
      </c>
      <c r="D446" s="7" t="s">
        <v>304</v>
      </c>
      <c r="E446" s="7" t="s">
        <v>2220</v>
      </c>
      <c r="F446" s="7" t="s">
        <v>2221</v>
      </c>
      <c r="G446" s="7" t="s">
        <v>2222</v>
      </c>
      <c r="H446" s="7" t="s">
        <v>150</v>
      </c>
      <c r="I446" s="7" t="s">
        <v>2223</v>
      </c>
      <c r="J446" s="7" t="s">
        <v>2224</v>
      </c>
      <c r="K446" s="7" t="s">
        <v>153</v>
      </c>
      <c r="L446" s="7" t="s">
        <v>154</v>
      </c>
      <c r="M446" s="7" t="s">
        <v>162</v>
      </c>
      <c r="N446" s="8"/>
      <c r="O446" s="8"/>
      <c r="P446" s="8"/>
      <c r="Q446" s="8"/>
      <c r="R446" s="8"/>
      <c r="S446" s="8"/>
      <c r="T446" s="8"/>
    </row>
    <row r="447" spans="1:20" x14ac:dyDescent="0.25">
      <c r="A447">
        <v>537</v>
      </c>
      <c r="B447" t="s">
        <v>2225</v>
      </c>
      <c r="C447" t="s">
        <v>145</v>
      </c>
      <c r="D447" t="s">
        <v>304</v>
      </c>
      <c r="E447" t="s">
        <v>2226</v>
      </c>
      <c r="F447" t="s">
        <v>2227</v>
      </c>
      <c r="G447" t="s">
        <v>2228</v>
      </c>
      <c r="H447" t="s">
        <v>150</v>
      </c>
      <c r="I447" t="s">
        <v>2229</v>
      </c>
      <c r="J447" t="s">
        <v>2230</v>
      </c>
      <c r="K447" t="s">
        <v>153</v>
      </c>
      <c r="L447" t="s">
        <v>154</v>
      </c>
      <c r="M447" t="s">
        <v>162</v>
      </c>
      <c r="N447" s="8"/>
      <c r="O447" s="8"/>
      <c r="P447" s="8"/>
      <c r="Q447" s="8"/>
      <c r="R447" s="8"/>
      <c r="S447" s="8"/>
      <c r="T447" s="8"/>
    </row>
    <row r="448" spans="1:20" x14ac:dyDescent="0.25">
      <c r="A448" s="7">
        <v>696</v>
      </c>
      <c r="B448" s="7" t="s">
        <v>2231</v>
      </c>
      <c r="C448" s="7" t="s">
        <v>145</v>
      </c>
      <c r="D448" s="7" t="s">
        <v>304</v>
      </c>
      <c r="E448" s="7" t="s">
        <v>2232</v>
      </c>
      <c r="F448" s="7" t="s">
        <v>2233</v>
      </c>
      <c r="G448" s="7" t="s">
        <v>2234</v>
      </c>
      <c r="H448" s="7" t="s">
        <v>150</v>
      </c>
      <c r="I448" s="7" t="s">
        <v>424</v>
      </c>
      <c r="J448" s="7" t="s">
        <v>425</v>
      </c>
      <c r="K448" s="7" t="s">
        <v>153</v>
      </c>
      <c r="L448" s="7" t="s">
        <v>275</v>
      </c>
      <c r="M448" s="7" t="s">
        <v>145</v>
      </c>
      <c r="N448" s="8"/>
      <c r="O448" s="8"/>
      <c r="P448" s="8"/>
      <c r="Q448" s="8"/>
      <c r="R448" s="8"/>
      <c r="S448" s="8"/>
      <c r="T448" s="8"/>
    </row>
    <row r="449" spans="1:20" x14ac:dyDescent="0.25">
      <c r="A449">
        <v>878</v>
      </c>
      <c r="B449" t="s">
        <v>2235</v>
      </c>
      <c r="C449" t="s">
        <v>145</v>
      </c>
      <c r="D449" t="s">
        <v>145</v>
      </c>
      <c r="E449" t="s">
        <v>2236</v>
      </c>
      <c r="F449" t="s">
        <v>2237</v>
      </c>
      <c r="K449" t="s">
        <v>153</v>
      </c>
      <c r="L449" t="s">
        <v>154</v>
      </c>
      <c r="M449" t="s">
        <v>162</v>
      </c>
      <c r="N449" s="8"/>
      <c r="O449" s="8"/>
      <c r="P449" s="8"/>
      <c r="Q449" s="8"/>
      <c r="R449" s="8"/>
      <c r="S449" s="8"/>
      <c r="T449" s="8"/>
    </row>
    <row r="450" spans="1:20" x14ac:dyDescent="0.25">
      <c r="A450" s="7">
        <v>665</v>
      </c>
      <c r="B450" s="7" t="s">
        <v>2238</v>
      </c>
      <c r="C450" s="7" t="s">
        <v>145</v>
      </c>
      <c r="D450" s="7" t="s">
        <v>304</v>
      </c>
      <c r="E450" s="7" t="s">
        <v>2239</v>
      </c>
      <c r="F450" s="7" t="s">
        <v>2240</v>
      </c>
      <c r="G450" s="7" t="s">
        <v>2241</v>
      </c>
      <c r="H450" s="7" t="s">
        <v>150</v>
      </c>
      <c r="I450" s="7" t="s">
        <v>2242</v>
      </c>
      <c r="J450" s="7" t="s">
        <v>2243</v>
      </c>
      <c r="K450" s="7" t="s">
        <v>153</v>
      </c>
      <c r="L450" s="7" t="s">
        <v>154</v>
      </c>
      <c r="M450" s="7" t="s">
        <v>162</v>
      </c>
      <c r="N450" s="8"/>
      <c r="O450" s="8"/>
      <c r="P450" s="8"/>
      <c r="Q450" s="8"/>
      <c r="R450" s="8"/>
      <c r="S450" s="8"/>
      <c r="T450" s="8"/>
    </row>
    <row r="451" spans="1:20" x14ac:dyDescent="0.25">
      <c r="A451">
        <v>698</v>
      </c>
      <c r="B451" t="s">
        <v>2244</v>
      </c>
      <c r="C451" t="s">
        <v>145</v>
      </c>
      <c r="D451" t="s">
        <v>304</v>
      </c>
      <c r="E451" t="s">
        <v>2245</v>
      </c>
      <c r="F451" t="s">
        <v>2246</v>
      </c>
      <c r="G451" t="s">
        <v>2247</v>
      </c>
      <c r="H451" t="s">
        <v>150</v>
      </c>
      <c r="I451" t="s">
        <v>2248</v>
      </c>
      <c r="J451" t="s">
        <v>2249</v>
      </c>
      <c r="K451" t="s">
        <v>153</v>
      </c>
      <c r="L451" t="s">
        <v>154</v>
      </c>
      <c r="M451" t="s">
        <v>162</v>
      </c>
      <c r="N451" s="8"/>
      <c r="O451" s="8"/>
      <c r="P451" s="8"/>
      <c r="Q451" s="8"/>
      <c r="R451" s="8"/>
      <c r="S451" s="8"/>
      <c r="T451" s="8"/>
    </row>
    <row r="452" spans="1:20" x14ac:dyDescent="0.25">
      <c r="A452" s="7">
        <v>628</v>
      </c>
      <c r="B452" s="7" t="s">
        <v>2250</v>
      </c>
      <c r="C452" s="7" t="s">
        <v>145</v>
      </c>
      <c r="D452" s="7" t="s">
        <v>304</v>
      </c>
      <c r="E452" s="7" t="s">
        <v>2251</v>
      </c>
      <c r="F452" s="7" t="s">
        <v>2252</v>
      </c>
      <c r="G452" s="7" t="s">
        <v>2241</v>
      </c>
      <c r="H452" s="7" t="s">
        <v>150</v>
      </c>
      <c r="I452" s="7" t="s">
        <v>2253</v>
      </c>
      <c r="J452" s="7" t="s">
        <v>2254</v>
      </c>
      <c r="K452" s="7" t="s">
        <v>153</v>
      </c>
      <c r="L452" s="7" t="s">
        <v>154</v>
      </c>
      <c r="M452" s="7" t="s">
        <v>162</v>
      </c>
      <c r="N452" s="8"/>
      <c r="O452" s="8"/>
      <c r="P452" s="8"/>
      <c r="Q452" s="8"/>
      <c r="R452" s="8"/>
      <c r="S452" s="8"/>
      <c r="T452" s="8"/>
    </row>
    <row r="453" spans="1:20" x14ac:dyDescent="0.25">
      <c r="A453">
        <v>729</v>
      </c>
      <c r="B453" t="s">
        <v>2255</v>
      </c>
      <c r="C453" t="s">
        <v>145</v>
      </c>
      <c r="D453" t="s">
        <v>145</v>
      </c>
      <c r="E453" t="s">
        <v>2256</v>
      </c>
      <c r="F453" t="s">
        <v>2257</v>
      </c>
      <c r="G453" t="s">
        <v>171</v>
      </c>
      <c r="H453" t="s">
        <v>150</v>
      </c>
      <c r="I453" t="s">
        <v>2258</v>
      </c>
      <c r="J453" t="s">
        <v>2259</v>
      </c>
      <c r="K453" t="s">
        <v>153</v>
      </c>
      <c r="L453" t="s">
        <v>154</v>
      </c>
      <c r="M453" t="s">
        <v>162</v>
      </c>
      <c r="N453" s="8"/>
      <c r="O453" s="8"/>
      <c r="P453" s="8"/>
      <c r="Q453" s="8"/>
      <c r="R453" s="8"/>
      <c r="S453" s="8"/>
      <c r="T453" s="8"/>
    </row>
    <row r="454" spans="1:20" x14ac:dyDescent="0.25">
      <c r="A454" s="7">
        <v>619</v>
      </c>
      <c r="B454" s="7" t="s">
        <v>2255</v>
      </c>
      <c r="C454" s="7" t="s">
        <v>2260</v>
      </c>
      <c r="D454" s="7" t="s">
        <v>304</v>
      </c>
      <c r="E454" s="7" t="s">
        <v>2261</v>
      </c>
      <c r="F454" s="7" t="s">
        <v>2262</v>
      </c>
      <c r="G454" s="7" t="s">
        <v>149</v>
      </c>
      <c r="H454" s="7" t="s">
        <v>150</v>
      </c>
      <c r="I454" s="7" t="s">
        <v>2263</v>
      </c>
      <c r="J454" s="7" t="s">
        <v>2264</v>
      </c>
      <c r="K454" s="7" t="s">
        <v>153</v>
      </c>
      <c r="L454" s="7" t="s">
        <v>154</v>
      </c>
      <c r="M454" s="7" t="s">
        <v>145</v>
      </c>
      <c r="N454" s="8"/>
      <c r="O454" s="8"/>
      <c r="P454" s="8"/>
      <c r="Q454" s="8"/>
      <c r="R454" s="8"/>
      <c r="S454" s="8"/>
      <c r="T454" s="8"/>
    </row>
    <row r="455" spans="1:20" x14ac:dyDescent="0.25">
      <c r="A455">
        <v>730</v>
      </c>
      <c r="B455" t="s">
        <v>2265</v>
      </c>
      <c r="C455" t="s">
        <v>2260</v>
      </c>
      <c r="D455" t="s">
        <v>145</v>
      </c>
      <c r="E455" t="s">
        <v>2261</v>
      </c>
      <c r="F455" t="s">
        <v>2266</v>
      </c>
      <c r="G455" t="s">
        <v>171</v>
      </c>
      <c r="H455" t="s">
        <v>150</v>
      </c>
      <c r="I455" t="s">
        <v>2267</v>
      </c>
      <c r="J455" t="s">
        <v>2259</v>
      </c>
      <c r="K455" t="s">
        <v>153</v>
      </c>
      <c r="L455" t="s">
        <v>154</v>
      </c>
      <c r="M455" t="s">
        <v>162</v>
      </c>
      <c r="N455" s="8"/>
      <c r="O455" s="8"/>
      <c r="P455" s="8"/>
      <c r="Q455" s="8"/>
      <c r="R455" s="8"/>
      <c r="S455" s="8"/>
      <c r="T455" s="8"/>
    </row>
    <row r="456" spans="1:20" x14ac:dyDescent="0.25">
      <c r="A456" s="7">
        <v>782</v>
      </c>
      <c r="B456" s="7" t="s">
        <v>2268</v>
      </c>
      <c r="C456" s="7" t="s">
        <v>381</v>
      </c>
      <c r="D456" s="7" t="s">
        <v>145</v>
      </c>
      <c r="E456" s="7" t="s">
        <v>382</v>
      </c>
      <c r="F456" s="7" t="s">
        <v>2269</v>
      </c>
      <c r="G456" s="7" t="s">
        <v>402</v>
      </c>
      <c r="H456" s="7" t="s">
        <v>150</v>
      </c>
      <c r="I456" s="7" t="s">
        <v>385</v>
      </c>
      <c r="J456" s="7" t="s">
        <v>386</v>
      </c>
      <c r="K456" s="7" t="s">
        <v>153</v>
      </c>
      <c r="L456" s="7" t="s">
        <v>154</v>
      </c>
      <c r="M456" s="7" t="s">
        <v>162</v>
      </c>
      <c r="N456" s="8"/>
      <c r="O456" s="8"/>
      <c r="P456" s="8"/>
      <c r="Q456" s="8"/>
      <c r="R456" s="8"/>
      <c r="S456" s="8"/>
      <c r="T456" s="8"/>
    </row>
    <row r="457" spans="1:20" x14ac:dyDescent="0.25">
      <c r="A457">
        <v>436</v>
      </c>
      <c r="B457" t="s">
        <v>2270</v>
      </c>
      <c r="C457" t="s">
        <v>2271</v>
      </c>
      <c r="D457" t="s">
        <v>304</v>
      </c>
      <c r="E457" t="s">
        <v>2272</v>
      </c>
      <c r="F457" t="s">
        <v>2273</v>
      </c>
      <c r="G457" t="s">
        <v>323</v>
      </c>
      <c r="H457" t="s">
        <v>150</v>
      </c>
      <c r="I457" t="s">
        <v>2274</v>
      </c>
      <c r="J457" t="s">
        <v>2275</v>
      </c>
      <c r="K457" t="s">
        <v>153</v>
      </c>
      <c r="L457" t="s">
        <v>85</v>
      </c>
      <c r="M457" t="s">
        <v>162</v>
      </c>
      <c r="N457" s="8"/>
      <c r="O457" s="8"/>
      <c r="P457" s="8"/>
      <c r="Q457" s="8"/>
      <c r="R457" s="8"/>
      <c r="S457" s="8"/>
      <c r="T457" s="8"/>
    </row>
    <row r="458" spans="1:20" x14ac:dyDescent="0.25">
      <c r="A458" s="7">
        <v>437</v>
      </c>
      <c r="B458" s="7" t="s">
        <v>2276</v>
      </c>
      <c r="C458" s="7" t="s">
        <v>2271</v>
      </c>
      <c r="D458" s="7" t="s">
        <v>304</v>
      </c>
      <c r="E458" s="7" t="s">
        <v>2272</v>
      </c>
      <c r="F458" s="7" t="s">
        <v>2277</v>
      </c>
      <c r="G458" s="7" t="s">
        <v>502</v>
      </c>
      <c r="H458" s="7" t="s">
        <v>150</v>
      </c>
      <c r="I458" s="7" t="s">
        <v>2278</v>
      </c>
      <c r="J458" s="7" t="s">
        <v>2275</v>
      </c>
      <c r="K458" s="7" t="s">
        <v>153</v>
      </c>
      <c r="L458" s="7" t="s">
        <v>85</v>
      </c>
      <c r="M458" s="7" t="s">
        <v>162</v>
      </c>
      <c r="N458" s="8"/>
      <c r="O458" s="8"/>
      <c r="P458" s="8"/>
      <c r="Q458" s="8"/>
      <c r="R458" s="8"/>
      <c r="S458" s="8"/>
      <c r="T458" s="8"/>
    </row>
    <row r="459" spans="1:20" x14ac:dyDescent="0.25">
      <c r="A459">
        <v>505</v>
      </c>
      <c r="B459" t="s">
        <v>2279</v>
      </c>
      <c r="C459" t="s">
        <v>381</v>
      </c>
      <c r="D459" t="s">
        <v>304</v>
      </c>
      <c r="E459" t="s">
        <v>388</v>
      </c>
      <c r="F459" t="s">
        <v>2280</v>
      </c>
      <c r="G459" t="s">
        <v>390</v>
      </c>
      <c r="H459" t="s">
        <v>150</v>
      </c>
      <c r="I459" t="s">
        <v>981</v>
      </c>
      <c r="J459" t="s">
        <v>392</v>
      </c>
      <c r="K459" t="s">
        <v>153</v>
      </c>
      <c r="L459" t="s">
        <v>85</v>
      </c>
      <c r="M459" t="s">
        <v>162</v>
      </c>
      <c r="N459" s="8"/>
      <c r="O459" s="8"/>
      <c r="P459" s="8"/>
      <c r="Q459" s="8"/>
      <c r="R459" s="8"/>
      <c r="S459" s="8"/>
      <c r="T459" s="8"/>
    </row>
    <row r="460" spans="1:20" x14ac:dyDescent="0.25">
      <c r="A460" s="7">
        <v>552</v>
      </c>
      <c r="B460" s="7" t="s">
        <v>2281</v>
      </c>
      <c r="C460" s="7" t="s">
        <v>381</v>
      </c>
      <c r="D460" s="7" t="s">
        <v>304</v>
      </c>
      <c r="E460" s="7" t="s">
        <v>382</v>
      </c>
      <c r="F460" s="7" t="s">
        <v>2282</v>
      </c>
      <c r="G460" s="7" t="s">
        <v>2074</v>
      </c>
      <c r="H460" s="7" t="s">
        <v>150</v>
      </c>
      <c r="I460" s="7" t="s">
        <v>2283</v>
      </c>
      <c r="J460" s="7" t="s">
        <v>2284</v>
      </c>
      <c r="K460" s="7" t="s">
        <v>153</v>
      </c>
      <c r="L460" s="7" t="s">
        <v>154</v>
      </c>
      <c r="M460" s="7" t="s">
        <v>162</v>
      </c>
      <c r="N460" s="8"/>
      <c r="O460" s="8"/>
      <c r="P460" s="8"/>
      <c r="Q460" s="8"/>
      <c r="R460" s="8"/>
      <c r="S460" s="8"/>
      <c r="T460" s="8"/>
    </row>
    <row r="461" spans="1:20" x14ac:dyDescent="0.25">
      <c r="A461">
        <v>775</v>
      </c>
      <c r="B461" t="s">
        <v>2285</v>
      </c>
      <c r="C461" t="s">
        <v>145</v>
      </c>
      <c r="D461" t="s">
        <v>304</v>
      </c>
      <c r="E461" t="s">
        <v>2286</v>
      </c>
      <c r="F461" t="s">
        <v>2287</v>
      </c>
      <c r="G461" t="s">
        <v>1652</v>
      </c>
      <c r="H461" t="s">
        <v>150</v>
      </c>
      <c r="K461" t="s">
        <v>153</v>
      </c>
      <c r="L461" t="s">
        <v>154</v>
      </c>
      <c r="M461" t="s">
        <v>162</v>
      </c>
      <c r="N461" s="8"/>
      <c r="O461" s="8"/>
      <c r="P461" s="8"/>
      <c r="Q461" s="8"/>
      <c r="R461" s="8"/>
      <c r="S461" s="8"/>
      <c r="T461" s="8"/>
    </row>
    <row r="462" spans="1:20" x14ac:dyDescent="0.25">
      <c r="A462" s="7">
        <v>852</v>
      </c>
      <c r="B462" s="7" t="s">
        <v>2288</v>
      </c>
      <c r="C462" s="7" t="s">
        <v>381</v>
      </c>
      <c r="D462" s="7" t="s">
        <v>145</v>
      </c>
      <c r="E462" s="7" t="s">
        <v>382</v>
      </c>
      <c r="F462" s="7" t="s">
        <v>2289</v>
      </c>
      <c r="G462" s="7" t="s">
        <v>2117</v>
      </c>
      <c r="H462" s="7" t="s">
        <v>150</v>
      </c>
      <c r="I462" s="7" t="s">
        <v>2290</v>
      </c>
      <c r="J462" s="7" t="s">
        <v>386</v>
      </c>
      <c r="K462" s="7" t="s">
        <v>153</v>
      </c>
      <c r="L462" s="7" t="s">
        <v>154</v>
      </c>
      <c r="M462" s="7" t="s">
        <v>162</v>
      </c>
      <c r="N462" s="8"/>
      <c r="O462" s="8"/>
      <c r="P462" s="8"/>
      <c r="Q462" s="8"/>
      <c r="R462" s="8"/>
      <c r="S462" s="8"/>
      <c r="T462" s="8"/>
    </row>
    <row r="463" spans="1:20" x14ac:dyDescent="0.25">
      <c r="A463">
        <v>781</v>
      </c>
      <c r="B463" t="s">
        <v>2291</v>
      </c>
      <c r="C463" t="s">
        <v>381</v>
      </c>
      <c r="D463" t="s">
        <v>145</v>
      </c>
      <c r="E463" t="s">
        <v>382</v>
      </c>
      <c r="F463" t="s">
        <v>2292</v>
      </c>
      <c r="G463" t="s">
        <v>2293</v>
      </c>
      <c r="H463" t="s">
        <v>150</v>
      </c>
      <c r="I463" t="s">
        <v>385</v>
      </c>
      <c r="J463" t="s">
        <v>386</v>
      </c>
      <c r="K463" t="s">
        <v>153</v>
      </c>
      <c r="L463" t="s">
        <v>154</v>
      </c>
      <c r="M463" t="s">
        <v>162</v>
      </c>
      <c r="N463" s="8"/>
      <c r="O463" s="8"/>
      <c r="P463" s="8"/>
      <c r="Q463" s="8"/>
      <c r="R463" s="8"/>
      <c r="S463" s="8"/>
      <c r="T463" s="8"/>
    </row>
    <row r="464" spans="1:20" x14ac:dyDescent="0.25">
      <c r="A464" s="7">
        <v>832</v>
      </c>
      <c r="B464" s="7" t="s">
        <v>2294</v>
      </c>
      <c r="C464" s="7" t="s">
        <v>381</v>
      </c>
      <c r="D464" s="7" t="s">
        <v>145</v>
      </c>
      <c r="E464" s="7" t="s">
        <v>382</v>
      </c>
      <c r="F464" s="7" t="s">
        <v>2295</v>
      </c>
      <c r="G464" s="7" t="s">
        <v>2293</v>
      </c>
      <c r="H464" s="7" t="s">
        <v>150</v>
      </c>
      <c r="I464" s="7" t="s">
        <v>385</v>
      </c>
      <c r="J464" s="7" t="s">
        <v>2296</v>
      </c>
      <c r="K464" s="7" t="s">
        <v>153</v>
      </c>
      <c r="L464" s="7" t="s">
        <v>154</v>
      </c>
      <c r="M464" s="7" t="s">
        <v>162</v>
      </c>
      <c r="N464" s="8"/>
      <c r="O464" s="8"/>
      <c r="P464" s="8"/>
      <c r="Q464" s="8"/>
      <c r="R464" s="8"/>
      <c r="S464" s="8"/>
      <c r="T464" s="8"/>
    </row>
    <row r="465" spans="1:20" x14ac:dyDescent="0.25">
      <c r="A465">
        <v>735</v>
      </c>
      <c r="B465" t="s">
        <v>2297</v>
      </c>
      <c r="C465" t="s">
        <v>381</v>
      </c>
      <c r="D465" t="s">
        <v>304</v>
      </c>
      <c r="E465" t="s">
        <v>382</v>
      </c>
      <c r="F465" t="s">
        <v>2298</v>
      </c>
      <c r="G465" t="s">
        <v>2117</v>
      </c>
      <c r="H465" t="s">
        <v>150</v>
      </c>
      <c r="I465" t="s">
        <v>385</v>
      </c>
      <c r="J465" t="s">
        <v>386</v>
      </c>
      <c r="K465" t="s">
        <v>153</v>
      </c>
      <c r="L465" t="s">
        <v>154</v>
      </c>
      <c r="M465" t="s">
        <v>162</v>
      </c>
      <c r="N465" s="8"/>
      <c r="O465" s="8"/>
      <c r="P465" s="8"/>
      <c r="Q465" s="8"/>
      <c r="R465" s="8"/>
      <c r="S465" s="8"/>
      <c r="T465" s="8"/>
    </row>
    <row r="466" spans="1:20" x14ac:dyDescent="0.25">
      <c r="A466" s="7">
        <v>737</v>
      </c>
      <c r="B466" s="7" t="s">
        <v>2297</v>
      </c>
      <c r="C466" s="7" t="s">
        <v>381</v>
      </c>
      <c r="D466" s="7" t="s">
        <v>304</v>
      </c>
      <c r="E466" s="7" t="s">
        <v>382</v>
      </c>
      <c r="F466" s="7" t="s">
        <v>2299</v>
      </c>
      <c r="G466" s="7" t="s">
        <v>2300</v>
      </c>
      <c r="H466" s="7" t="s">
        <v>150</v>
      </c>
      <c r="I466" s="7" t="s">
        <v>385</v>
      </c>
      <c r="J466" s="7" t="s">
        <v>2301</v>
      </c>
      <c r="K466" s="7" t="s">
        <v>153</v>
      </c>
      <c r="L466" s="7" t="s">
        <v>154</v>
      </c>
      <c r="M466" s="7" t="s">
        <v>162</v>
      </c>
      <c r="N466" s="8"/>
      <c r="O466" s="8"/>
      <c r="P466" s="8"/>
      <c r="Q466" s="8"/>
      <c r="R466" s="8"/>
      <c r="S466" s="8"/>
      <c r="T466" s="8"/>
    </row>
    <row r="467" spans="1:20" x14ac:dyDescent="0.25">
      <c r="A467">
        <v>736</v>
      </c>
      <c r="B467" t="s">
        <v>2302</v>
      </c>
      <c r="C467" t="s">
        <v>381</v>
      </c>
      <c r="D467" t="s">
        <v>304</v>
      </c>
      <c r="E467" t="s">
        <v>382</v>
      </c>
      <c r="F467" t="s">
        <v>2303</v>
      </c>
      <c r="G467" t="s">
        <v>2304</v>
      </c>
      <c r="H467" t="s">
        <v>150</v>
      </c>
      <c r="I467" t="s">
        <v>385</v>
      </c>
      <c r="J467" t="s">
        <v>386</v>
      </c>
      <c r="K467" t="s">
        <v>153</v>
      </c>
      <c r="L467" t="s">
        <v>154</v>
      </c>
      <c r="M467" t="s">
        <v>162</v>
      </c>
      <c r="N467" s="8"/>
      <c r="O467" s="8"/>
      <c r="P467" s="8"/>
      <c r="Q467" s="8"/>
      <c r="R467" s="8"/>
      <c r="S467" s="8"/>
      <c r="T467" s="8"/>
    </row>
    <row r="468" spans="1:20" x14ac:dyDescent="0.25">
      <c r="A468" s="7">
        <v>741</v>
      </c>
      <c r="B468" s="7" t="s">
        <v>2305</v>
      </c>
      <c r="C468" s="7" t="s">
        <v>145</v>
      </c>
      <c r="D468" s="7" t="s">
        <v>145</v>
      </c>
      <c r="E468" s="7" t="s">
        <v>2306</v>
      </c>
      <c r="F468" s="7" t="s">
        <v>2307</v>
      </c>
      <c r="G468" s="7" t="s">
        <v>995</v>
      </c>
      <c r="H468" s="7" t="s">
        <v>150</v>
      </c>
      <c r="I468" s="7" t="s">
        <v>2308</v>
      </c>
      <c r="J468" s="7" t="s">
        <v>2309</v>
      </c>
      <c r="K468" s="7" t="s">
        <v>153</v>
      </c>
      <c r="L468" s="7" t="s">
        <v>154</v>
      </c>
      <c r="M468" s="7" t="s">
        <v>162</v>
      </c>
      <c r="N468" s="8"/>
      <c r="O468" s="8"/>
      <c r="P468" s="8"/>
      <c r="Q468" s="8"/>
      <c r="R468" s="8"/>
      <c r="S468" s="8"/>
      <c r="T468" s="8"/>
    </row>
    <row r="469" spans="1:20" x14ac:dyDescent="0.25">
      <c r="A469">
        <v>876</v>
      </c>
      <c r="B469" t="s">
        <v>2310</v>
      </c>
      <c r="C469" t="s">
        <v>145</v>
      </c>
      <c r="D469" t="s">
        <v>145</v>
      </c>
      <c r="E469" t="s">
        <v>2311</v>
      </c>
      <c r="F469" t="s">
        <v>2312</v>
      </c>
      <c r="G469" t="s">
        <v>183</v>
      </c>
      <c r="H469" t="s">
        <v>150</v>
      </c>
      <c r="I469" t="s">
        <v>2313</v>
      </c>
      <c r="J469" t="s">
        <v>2314</v>
      </c>
      <c r="K469" t="s">
        <v>153</v>
      </c>
      <c r="L469" t="s">
        <v>85</v>
      </c>
      <c r="M469" t="s">
        <v>162</v>
      </c>
      <c r="N469" s="8"/>
      <c r="O469" s="8"/>
      <c r="P469" s="8"/>
      <c r="Q469" s="8"/>
      <c r="R469" s="8"/>
      <c r="S469" s="8"/>
      <c r="T469" s="8"/>
    </row>
    <row r="470" spans="1:20" x14ac:dyDescent="0.25">
      <c r="A470" s="7">
        <v>428</v>
      </c>
      <c r="B470" s="7" t="s">
        <v>2315</v>
      </c>
      <c r="C470" s="7" t="s">
        <v>145</v>
      </c>
      <c r="D470" s="7" t="s">
        <v>639</v>
      </c>
      <c r="E470" s="7" t="s">
        <v>2316</v>
      </c>
      <c r="F470" s="7" t="s">
        <v>2317</v>
      </c>
      <c r="G470" s="7" t="s">
        <v>159</v>
      </c>
      <c r="H470" s="7" t="s">
        <v>150</v>
      </c>
      <c r="I470" s="7" t="s">
        <v>2318</v>
      </c>
      <c r="J470" s="7" t="s">
        <v>2319</v>
      </c>
      <c r="K470" s="7" t="s">
        <v>153</v>
      </c>
      <c r="L470" s="7" t="s">
        <v>154</v>
      </c>
      <c r="M470" s="7" t="s">
        <v>162</v>
      </c>
      <c r="N470" s="8"/>
      <c r="O470" s="8"/>
      <c r="P470" s="8"/>
      <c r="Q470" s="8"/>
      <c r="R470" s="8"/>
      <c r="S470" s="8"/>
      <c r="T470" s="8"/>
    </row>
    <row r="471" spans="1:20" x14ac:dyDescent="0.25">
      <c r="A471">
        <v>708</v>
      </c>
      <c r="B471" t="s">
        <v>2320</v>
      </c>
      <c r="C471" t="s">
        <v>145</v>
      </c>
      <c r="D471" t="s">
        <v>145</v>
      </c>
      <c r="E471" t="s">
        <v>2321</v>
      </c>
      <c r="F471" t="s">
        <v>2322</v>
      </c>
      <c r="G471" t="s">
        <v>2203</v>
      </c>
      <c r="H471" t="s">
        <v>150</v>
      </c>
      <c r="I471" t="s">
        <v>2323</v>
      </c>
      <c r="J471" t="s">
        <v>2324</v>
      </c>
      <c r="K471" t="s">
        <v>153</v>
      </c>
      <c r="L471" t="s">
        <v>85</v>
      </c>
      <c r="M471" t="s">
        <v>162</v>
      </c>
      <c r="N471" s="8"/>
      <c r="O471" s="8"/>
      <c r="P471" s="8"/>
      <c r="Q471" s="8"/>
      <c r="R471" s="8"/>
      <c r="S471" s="8"/>
      <c r="T471" s="8"/>
    </row>
    <row r="472" spans="1:20" x14ac:dyDescent="0.25">
      <c r="A472" s="7">
        <v>387</v>
      </c>
      <c r="B472" s="7" t="s">
        <v>2325</v>
      </c>
      <c r="C472" s="7" t="s">
        <v>1435</v>
      </c>
      <c r="D472" s="7" t="s">
        <v>304</v>
      </c>
      <c r="E472" s="7" t="s">
        <v>1436</v>
      </c>
      <c r="F472" s="7" t="s">
        <v>2326</v>
      </c>
      <c r="G472" s="7" t="s">
        <v>1208</v>
      </c>
      <c r="H472" s="7" t="s">
        <v>150</v>
      </c>
      <c r="I472" s="7" t="s">
        <v>1209</v>
      </c>
      <c r="J472" s="7" t="s">
        <v>2327</v>
      </c>
      <c r="K472" s="7" t="s">
        <v>153</v>
      </c>
      <c r="L472" s="7" t="s">
        <v>154</v>
      </c>
      <c r="M472" s="7" t="s">
        <v>162</v>
      </c>
      <c r="N472" s="8"/>
      <c r="O472" s="8"/>
      <c r="P472" s="8"/>
      <c r="Q472" s="8"/>
      <c r="R472" s="8"/>
      <c r="S472" s="8"/>
      <c r="T472" s="8"/>
    </row>
    <row r="473" spans="1:20" x14ac:dyDescent="0.25">
      <c r="A473">
        <v>589</v>
      </c>
      <c r="B473" t="s">
        <v>2328</v>
      </c>
      <c r="C473" t="s">
        <v>1435</v>
      </c>
      <c r="D473" t="s">
        <v>304</v>
      </c>
      <c r="E473" t="s">
        <v>1436</v>
      </c>
      <c r="F473" t="s">
        <v>2329</v>
      </c>
      <c r="G473" t="s">
        <v>615</v>
      </c>
      <c r="H473" t="s">
        <v>150</v>
      </c>
      <c r="I473" t="s">
        <v>2330</v>
      </c>
      <c r="J473" t="s">
        <v>2331</v>
      </c>
      <c r="K473" t="s">
        <v>153</v>
      </c>
      <c r="L473" t="s">
        <v>154</v>
      </c>
      <c r="M473" t="s">
        <v>162</v>
      </c>
      <c r="N473" s="8"/>
      <c r="O473" s="8"/>
      <c r="P473" s="8"/>
      <c r="Q473" s="8"/>
      <c r="R473" s="8"/>
      <c r="S473" s="8"/>
      <c r="T473" s="8"/>
    </row>
    <row r="474" spans="1:20" x14ac:dyDescent="0.25">
      <c r="A474" s="7">
        <v>588</v>
      </c>
      <c r="B474" s="7" t="s">
        <v>2332</v>
      </c>
      <c r="C474" s="7" t="s">
        <v>1435</v>
      </c>
      <c r="D474" s="7" t="s">
        <v>304</v>
      </c>
      <c r="E474" s="7" t="s">
        <v>1436</v>
      </c>
      <c r="F474" s="7" t="s">
        <v>2333</v>
      </c>
      <c r="G474" s="7" t="s">
        <v>615</v>
      </c>
      <c r="H474" s="7" t="s">
        <v>150</v>
      </c>
      <c r="I474" s="7" t="s">
        <v>2330</v>
      </c>
      <c r="J474" s="7" t="s">
        <v>2331</v>
      </c>
      <c r="K474" s="7" t="s">
        <v>153</v>
      </c>
      <c r="L474" s="7" t="s">
        <v>154</v>
      </c>
      <c r="M474" s="7" t="s">
        <v>162</v>
      </c>
      <c r="N474" s="8"/>
      <c r="O474" s="8"/>
      <c r="P474" s="8"/>
      <c r="Q474" s="8"/>
      <c r="R474" s="8"/>
      <c r="S474" s="8"/>
      <c r="T474" s="8"/>
    </row>
    <row r="475" spans="1:20" x14ac:dyDescent="0.25">
      <c r="A475">
        <v>420</v>
      </c>
      <c r="B475" t="s">
        <v>2334</v>
      </c>
      <c r="C475" t="s">
        <v>145</v>
      </c>
      <c r="D475" t="s">
        <v>146</v>
      </c>
      <c r="E475" t="s">
        <v>2335</v>
      </c>
      <c r="F475" t="s">
        <v>2336</v>
      </c>
      <c r="G475" t="s">
        <v>198</v>
      </c>
      <c r="H475" t="s">
        <v>150</v>
      </c>
      <c r="I475" t="s">
        <v>2337</v>
      </c>
      <c r="J475" t="s">
        <v>2338</v>
      </c>
      <c r="K475" t="s">
        <v>153</v>
      </c>
      <c r="L475" t="s">
        <v>85</v>
      </c>
      <c r="M475" t="s">
        <v>145</v>
      </c>
      <c r="N475" s="8"/>
      <c r="O475" s="8"/>
      <c r="P475" s="8"/>
      <c r="Q475" s="8"/>
      <c r="R475" s="8"/>
      <c r="S475" s="8"/>
      <c r="T475" s="8"/>
    </row>
    <row r="476" spans="1:20" x14ac:dyDescent="0.25">
      <c r="A476" s="7">
        <v>353</v>
      </c>
      <c r="B476" s="7" t="s">
        <v>2339</v>
      </c>
      <c r="C476" s="7" t="s">
        <v>145</v>
      </c>
      <c r="D476" s="7" t="s">
        <v>417</v>
      </c>
      <c r="E476" s="7" t="s">
        <v>2340</v>
      </c>
      <c r="F476" s="7" t="s">
        <v>2341</v>
      </c>
      <c r="G476" s="7" t="s">
        <v>2342</v>
      </c>
      <c r="H476" s="7" t="s">
        <v>215</v>
      </c>
      <c r="I476" s="7" t="s">
        <v>874</v>
      </c>
      <c r="J476" s="7" t="s">
        <v>875</v>
      </c>
      <c r="K476" s="7" t="s">
        <v>153</v>
      </c>
      <c r="L476" s="7" t="s">
        <v>85</v>
      </c>
      <c r="M476" s="7" t="s">
        <v>145</v>
      </c>
      <c r="N476" s="8"/>
      <c r="O476" s="8"/>
      <c r="P476" s="8"/>
      <c r="Q476" s="8"/>
      <c r="R476" s="8"/>
      <c r="S476" s="8"/>
      <c r="T476" s="8"/>
    </row>
    <row r="477" spans="1:20" x14ac:dyDescent="0.25">
      <c r="A477">
        <v>648</v>
      </c>
      <c r="B477" t="s">
        <v>2343</v>
      </c>
      <c r="C477" t="s">
        <v>2344</v>
      </c>
      <c r="D477" t="s">
        <v>1059</v>
      </c>
      <c r="E477" t="s">
        <v>2345</v>
      </c>
      <c r="F477" t="s">
        <v>2346</v>
      </c>
      <c r="G477" t="s">
        <v>2347</v>
      </c>
      <c r="H477" t="s">
        <v>150</v>
      </c>
      <c r="I477" t="s">
        <v>2348</v>
      </c>
      <c r="K477" t="s">
        <v>153</v>
      </c>
      <c r="L477" t="s">
        <v>154</v>
      </c>
      <c r="M477" t="s">
        <v>162</v>
      </c>
      <c r="N477" s="8"/>
      <c r="O477" s="8"/>
      <c r="P477" s="8"/>
      <c r="Q477" s="8"/>
      <c r="R477" s="8"/>
      <c r="S477" s="8"/>
      <c r="T477" s="8"/>
    </row>
    <row r="478" spans="1:20" x14ac:dyDescent="0.25">
      <c r="A478" s="7">
        <v>888</v>
      </c>
      <c r="B478" s="7" t="s">
        <v>2349</v>
      </c>
      <c r="C478" s="7" t="s">
        <v>145</v>
      </c>
      <c r="D478" s="7" t="s">
        <v>145</v>
      </c>
      <c r="E478" s="7" t="s">
        <v>2350</v>
      </c>
      <c r="F478" s="7" t="s">
        <v>2351</v>
      </c>
      <c r="G478" s="7" t="s">
        <v>1144</v>
      </c>
      <c r="H478" s="7" t="s">
        <v>150</v>
      </c>
      <c r="I478" s="7" t="s">
        <v>2352</v>
      </c>
      <c r="J478" s="7" t="s">
        <v>2353</v>
      </c>
      <c r="K478" s="7" t="s">
        <v>153</v>
      </c>
      <c r="L478" s="7" t="s">
        <v>85</v>
      </c>
      <c r="M478" s="7" t="s">
        <v>162</v>
      </c>
      <c r="N478" s="8"/>
      <c r="O478" s="8"/>
      <c r="P478" s="8"/>
      <c r="Q478" s="8"/>
      <c r="R478" s="8"/>
      <c r="S478" s="8"/>
      <c r="T478" s="8"/>
    </row>
    <row r="479" spans="1:20" x14ac:dyDescent="0.25">
      <c r="A479">
        <v>632</v>
      </c>
      <c r="B479" t="s">
        <v>2354</v>
      </c>
      <c r="C479" t="s">
        <v>145</v>
      </c>
      <c r="D479" t="s">
        <v>287</v>
      </c>
      <c r="E479" t="s">
        <v>2355</v>
      </c>
      <c r="F479" t="s">
        <v>2356</v>
      </c>
      <c r="G479" t="s">
        <v>2357</v>
      </c>
      <c r="H479" t="s">
        <v>150</v>
      </c>
      <c r="K479" t="s">
        <v>153</v>
      </c>
      <c r="L479" t="s">
        <v>154</v>
      </c>
      <c r="M479" t="s">
        <v>162</v>
      </c>
      <c r="N479" s="8"/>
      <c r="O479" s="8"/>
      <c r="P479" s="8"/>
      <c r="Q479" s="8"/>
      <c r="R479" s="8"/>
      <c r="S479" s="8"/>
      <c r="T479" s="8"/>
    </row>
    <row r="480" spans="1:20" x14ac:dyDescent="0.25">
      <c r="A480" s="7">
        <v>538</v>
      </c>
      <c r="B480" s="7" t="s">
        <v>2358</v>
      </c>
      <c r="C480" s="7" t="s">
        <v>145</v>
      </c>
      <c r="D480" s="7" t="s">
        <v>311</v>
      </c>
      <c r="E480" s="7" t="s">
        <v>2359</v>
      </c>
      <c r="F480" s="7" t="s">
        <v>2360</v>
      </c>
      <c r="G480" s="7" t="s">
        <v>183</v>
      </c>
      <c r="H480" s="7" t="s">
        <v>150</v>
      </c>
      <c r="I480" s="7" t="s">
        <v>2361</v>
      </c>
      <c r="J480" s="7" t="s">
        <v>2362</v>
      </c>
      <c r="K480" s="7" t="s">
        <v>153</v>
      </c>
      <c r="L480" s="7" t="s">
        <v>154</v>
      </c>
      <c r="M480" s="7" t="s">
        <v>162</v>
      </c>
      <c r="N480" s="8"/>
      <c r="O480" s="8"/>
      <c r="P480" s="8"/>
      <c r="Q480" s="8"/>
      <c r="R480" s="8"/>
      <c r="S480" s="8"/>
      <c r="T480" s="8"/>
    </row>
    <row r="481" spans="1:20" x14ac:dyDescent="0.25">
      <c r="A481">
        <v>608</v>
      </c>
      <c r="B481" t="s">
        <v>2363</v>
      </c>
      <c r="C481" t="s">
        <v>145</v>
      </c>
      <c r="D481" t="s">
        <v>417</v>
      </c>
      <c r="E481" t="s">
        <v>2364</v>
      </c>
      <c r="F481" t="s">
        <v>2365</v>
      </c>
      <c r="G481" t="s">
        <v>1202</v>
      </c>
      <c r="H481" t="s">
        <v>150</v>
      </c>
      <c r="I481" t="s">
        <v>2366</v>
      </c>
      <c r="J481" t="s">
        <v>2367</v>
      </c>
      <c r="K481" t="s">
        <v>153</v>
      </c>
      <c r="L481" t="s">
        <v>85</v>
      </c>
      <c r="M481" t="s">
        <v>145</v>
      </c>
      <c r="N481" s="8"/>
      <c r="O481" s="8"/>
      <c r="P481" s="8"/>
      <c r="Q481" s="8"/>
      <c r="R481" s="8"/>
      <c r="S481" s="8"/>
      <c r="T481" s="8"/>
    </row>
    <row r="482" spans="1:20" x14ac:dyDescent="0.25">
      <c r="A482" s="7">
        <v>499</v>
      </c>
      <c r="B482" s="7" t="s">
        <v>2368</v>
      </c>
      <c r="C482" s="7" t="s">
        <v>2369</v>
      </c>
      <c r="D482" s="7" t="s">
        <v>304</v>
      </c>
      <c r="E482" s="7" t="s">
        <v>2370</v>
      </c>
      <c r="F482" s="7" t="s">
        <v>2371</v>
      </c>
      <c r="G482" s="7" t="s">
        <v>2372</v>
      </c>
      <c r="H482" s="7" t="s">
        <v>150</v>
      </c>
      <c r="I482" s="7" t="s">
        <v>2373</v>
      </c>
      <c r="J482" s="7" t="s">
        <v>2374</v>
      </c>
      <c r="K482" s="7" t="s">
        <v>153</v>
      </c>
      <c r="L482" s="7" t="s">
        <v>154</v>
      </c>
      <c r="M482" s="7" t="s">
        <v>145</v>
      </c>
      <c r="N482" s="8"/>
      <c r="O482" s="8"/>
      <c r="P482" s="8"/>
      <c r="Q482" s="8"/>
      <c r="R482" s="8"/>
      <c r="S482" s="8"/>
      <c r="T482" s="8"/>
    </row>
    <row r="483" spans="1:20" x14ac:dyDescent="0.25">
      <c r="A483">
        <v>501</v>
      </c>
      <c r="B483" t="s">
        <v>2368</v>
      </c>
      <c r="C483" t="s">
        <v>2369</v>
      </c>
      <c r="D483" t="s">
        <v>304</v>
      </c>
      <c r="E483" t="s">
        <v>2370</v>
      </c>
      <c r="F483" t="s">
        <v>2375</v>
      </c>
      <c r="G483" t="s">
        <v>2376</v>
      </c>
      <c r="H483" t="s">
        <v>150</v>
      </c>
      <c r="I483" t="s">
        <v>2377</v>
      </c>
      <c r="J483" t="s">
        <v>2378</v>
      </c>
      <c r="K483" t="s">
        <v>153</v>
      </c>
      <c r="L483" t="s">
        <v>154</v>
      </c>
      <c r="M483" t="s">
        <v>145</v>
      </c>
      <c r="N483" s="8"/>
      <c r="O483" s="8"/>
      <c r="P483" s="8"/>
      <c r="Q483" s="8"/>
      <c r="R483" s="8"/>
      <c r="S483" s="8"/>
      <c r="T483" s="8"/>
    </row>
    <row r="484" spans="1:20" x14ac:dyDescent="0.25">
      <c r="A484" s="7">
        <v>498</v>
      </c>
      <c r="B484" s="7" t="s">
        <v>2368</v>
      </c>
      <c r="C484" s="7" t="s">
        <v>145</v>
      </c>
      <c r="D484" s="7" t="s">
        <v>304</v>
      </c>
      <c r="E484" s="7" t="s">
        <v>2379</v>
      </c>
      <c r="F484" s="7" t="s">
        <v>2380</v>
      </c>
      <c r="G484" s="7" t="s">
        <v>2381</v>
      </c>
      <c r="H484" s="7" t="s">
        <v>150</v>
      </c>
      <c r="I484" s="7" t="s">
        <v>2373</v>
      </c>
      <c r="J484" s="7" t="s">
        <v>2382</v>
      </c>
      <c r="K484" s="7" t="s">
        <v>153</v>
      </c>
      <c r="L484" s="7" t="s">
        <v>85</v>
      </c>
      <c r="M484" s="7" t="s">
        <v>145</v>
      </c>
      <c r="N484" s="8"/>
      <c r="O484" s="8"/>
      <c r="P484" s="8"/>
      <c r="Q484" s="8"/>
      <c r="R484" s="8"/>
      <c r="S484" s="8"/>
      <c r="T484" s="8"/>
    </row>
    <row r="485" spans="1:20" x14ac:dyDescent="0.25">
      <c r="A485">
        <v>500</v>
      </c>
      <c r="B485" t="s">
        <v>2368</v>
      </c>
      <c r="C485" t="s">
        <v>145</v>
      </c>
      <c r="D485" t="s">
        <v>304</v>
      </c>
      <c r="E485" t="s">
        <v>2383</v>
      </c>
      <c r="F485" t="s">
        <v>2384</v>
      </c>
      <c r="G485" t="s">
        <v>1424</v>
      </c>
      <c r="H485" t="s">
        <v>150</v>
      </c>
      <c r="I485" t="s">
        <v>2385</v>
      </c>
      <c r="J485" t="s">
        <v>2386</v>
      </c>
      <c r="K485" t="s">
        <v>153</v>
      </c>
      <c r="L485" t="s">
        <v>85</v>
      </c>
      <c r="M485" t="s">
        <v>145</v>
      </c>
      <c r="N485" s="8"/>
      <c r="O485" s="8"/>
      <c r="P485" s="8"/>
      <c r="Q485" s="8"/>
      <c r="R485" s="8"/>
      <c r="S485" s="8"/>
      <c r="T485" s="8"/>
    </row>
    <row r="486" spans="1:20" x14ac:dyDescent="0.25">
      <c r="A486" s="7">
        <v>502</v>
      </c>
      <c r="B486" s="7" t="s">
        <v>2368</v>
      </c>
      <c r="C486" s="7" t="s">
        <v>2369</v>
      </c>
      <c r="D486" s="7" t="s">
        <v>304</v>
      </c>
      <c r="E486" s="7" t="s">
        <v>2370</v>
      </c>
      <c r="F486" s="7" t="s">
        <v>2387</v>
      </c>
      <c r="G486" s="7" t="s">
        <v>2388</v>
      </c>
      <c r="H486" s="7" t="s">
        <v>150</v>
      </c>
      <c r="I486" s="7" t="s">
        <v>2389</v>
      </c>
      <c r="J486" s="7" t="s">
        <v>2390</v>
      </c>
      <c r="K486" s="7" t="s">
        <v>153</v>
      </c>
      <c r="L486" s="7" t="s">
        <v>154</v>
      </c>
      <c r="M486" s="7" t="s">
        <v>145</v>
      </c>
      <c r="N486" s="8"/>
      <c r="O486" s="8"/>
      <c r="P486" s="8"/>
      <c r="Q486" s="8"/>
      <c r="R486" s="8"/>
      <c r="S486" s="8"/>
      <c r="T486" s="8"/>
    </row>
    <row r="487" spans="1:20" x14ac:dyDescent="0.25">
      <c r="A487">
        <v>503</v>
      </c>
      <c r="B487" t="s">
        <v>2368</v>
      </c>
      <c r="C487" t="s">
        <v>2369</v>
      </c>
      <c r="D487" t="s">
        <v>304</v>
      </c>
      <c r="E487" t="s">
        <v>2370</v>
      </c>
      <c r="F487" t="s">
        <v>2391</v>
      </c>
      <c r="G487" t="s">
        <v>2392</v>
      </c>
      <c r="H487" t="s">
        <v>150</v>
      </c>
      <c r="I487" t="s">
        <v>2393</v>
      </c>
      <c r="J487" t="s">
        <v>2394</v>
      </c>
      <c r="K487" t="s">
        <v>153</v>
      </c>
      <c r="L487" t="s">
        <v>154</v>
      </c>
      <c r="M487" t="s">
        <v>145</v>
      </c>
      <c r="N487" s="8"/>
      <c r="O487" s="8"/>
      <c r="P487" s="8"/>
      <c r="Q487" s="8"/>
      <c r="R487" s="8"/>
      <c r="S487" s="8"/>
      <c r="T487" s="8"/>
    </row>
    <row r="488" spans="1:20" x14ac:dyDescent="0.25">
      <c r="A488" s="7">
        <v>448</v>
      </c>
      <c r="B488" s="7" t="s">
        <v>2395</v>
      </c>
      <c r="C488" s="7" t="s">
        <v>145</v>
      </c>
      <c r="D488" s="7" t="s">
        <v>304</v>
      </c>
      <c r="E488" s="7" t="s">
        <v>2396</v>
      </c>
      <c r="F488" s="7" t="s">
        <v>2397</v>
      </c>
      <c r="G488" s="7" t="s">
        <v>615</v>
      </c>
      <c r="H488" s="7" t="s">
        <v>150</v>
      </c>
      <c r="I488" s="7" t="s">
        <v>2398</v>
      </c>
      <c r="J488" s="7" t="s">
        <v>2399</v>
      </c>
      <c r="K488" s="7" t="s">
        <v>153</v>
      </c>
      <c r="L488" s="7" t="s">
        <v>154</v>
      </c>
      <c r="M488" s="7" t="s">
        <v>162</v>
      </c>
      <c r="N488" s="8"/>
      <c r="O488" s="8"/>
      <c r="P488" s="8"/>
      <c r="Q488" s="8"/>
      <c r="R488" s="8"/>
      <c r="S488" s="8"/>
      <c r="T488" s="8"/>
    </row>
    <row r="489" spans="1:20" x14ac:dyDescent="0.25">
      <c r="A489">
        <v>856</v>
      </c>
      <c r="B489" t="s">
        <v>2400</v>
      </c>
      <c r="C489" t="s">
        <v>145</v>
      </c>
      <c r="D489" t="s">
        <v>145</v>
      </c>
      <c r="E489" t="s">
        <v>2401</v>
      </c>
      <c r="F489" t="s">
        <v>2402</v>
      </c>
      <c r="G489" t="s">
        <v>1677</v>
      </c>
      <c r="H489" t="s">
        <v>150</v>
      </c>
      <c r="I489" t="s">
        <v>2403</v>
      </c>
      <c r="J489" t="s">
        <v>2404</v>
      </c>
      <c r="K489" t="s">
        <v>153</v>
      </c>
      <c r="L489" t="s">
        <v>154</v>
      </c>
      <c r="M489" t="s">
        <v>162</v>
      </c>
      <c r="N489" s="8"/>
      <c r="O489" s="8"/>
      <c r="P489" s="8"/>
      <c r="Q489" s="8"/>
      <c r="R489" s="8"/>
      <c r="S489" s="8"/>
      <c r="T489" s="8"/>
    </row>
    <row r="490" spans="1:20" x14ac:dyDescent="0.25">
      <c r="A490" s="7">
        <v>544</v>
      </c>
      <c r="B490" s="7" t="s">
        <v>2405</v>
      </c>
      <c r="C490" s="7" t="s">
        <v>145</v>
      </c>
      <c r="D490" s="7" t="s">
        <v>146</v>
      </c>
      <c r="E490" s="7" t="s">
        <v>2406</v>
      </c>
      <c r="F490" s="7" t="s">
        <v>2407</v>
      </c>
      <c r="G490" s="7" t="s">
        <v>2408</v>
      </c>
      <c r="H490" s="7" t="s">
        <v>150</v>
      </c>
      <c r="I490" s="7" t="s">
        <v>2409</v>
      </c>
      <c r="J490" s="7" t="s">
        <v>2410</v>
      </c>
      <c r="K490" s="7" t="s">
        <v>153</v>
      </c>
      <c r="L490" s="7" t="s">
        <v>275</v>
      </c>
      <c r="M490" s="7" t="s">
        <v>145</v>
      </c>
      <c r="N490" s="8"/>
      <c r="O490" s="8"/>
      <c r="P490" s="8"/>
      <c r="Q490" s="8"/>
      <c r="R490" s="8"/>
      <c r="S490" s="8"/>
      <c r="T490" s="8"/>
    </row>
    <row r="491" spans="1:20" x14ac:dyDescent="0.25">
      <c r="A491">
        <v>646</v>
      </c>
      <c r="B491" t="s">
        <v>2411</v>
      </c>
      <c r="C491" t="s">
        <v>145</v>
      </c>
      <c r="D491" t="s">
        <v>2412</v>
      </c>
      <c r="E491" t="s">
        <v>2413</v>
      </c>
      <c r="F491" t="s">
        <v>2414</v>
      </c>
      <c r="G491" t="s">
        <v>177</v>
      </c>
      <c r="H491" t="s">
        <v>150</v>
      </c>
      <c r="I491" t="s">
        <v>2415</v>
      </c>
      <c r="J491" t="s">
        <v>2416</v>
      </c>
      <c r="K491" t="s">
        <v>153</v>
      </c>
      <c r="L491" t="s">
        <v>154</v>
      </c>
      <c r="M491" t="s">
        <v>145</v>
      </c>
      <c r="N491" s="8"/>
      <c r="O491" s="8"/>
      <c r="P491" s="8"/>
      <c r="Q491" s="8"/>
      <c r="R491" s="8"/>
      <c r="S491" s="8"/>
      <c r="T491" s="8"/>
    </row>
    <row r="492" spans="1:20" x14ac:dyDescent="0.25">
      <c r="A492" s="7">
        <v>590</v>
      </c>
      <c r="B492" s="7" t="s">
        <v>2417</v>
      </c>
      <c r="C492" s="7" t="s">
        <v>145</v>
      </c>
      <c r="D492" s="7" t="s">
        <v>287</v>
      </c>
      <c r="E492" s="7" t="s">
        <v>2418</v>
      </c>
      <c r="F492" s="7" t="s">
        <v>2419</v>
      </c>
      <c r="G492" s="7" t="s">
        <v>1314</v>
      </c>
      <c r="H492" s="7" t="s">
        <v>150</v>
      </c>
      <c r="I492" s="7" t="s">
        <v>1315</v>
      </c>
      <c r="J492" s="7" t="s">
        <v>2420</v>
      </c>
      <c r="K492" s="7" t="s">
        <v>153</v>
      </c>
      <c r="L492" s="7" t="s">
        <v>85</v>
      </c>
      <c r="M492" s="7" t="s">
        <v>145</v>
      </c>
      <c r="N492" s="8"/>
      <c r="O492" s="8"/>
      <c r="P492" s="8"/>
      <c r="Q492" s="8"/>
      <c r="R492" s="8"/>
      <c r="S492" s="8"/>
      <c r="T492" s="8"/>
    </row>
    <row r="493" spans="1:20" x14ac:dyDescent="0.25">
      <c r="A493">
        <v>591</v>
      </c>
      <c r="B493" t="s">
        <v>2421</v>
      </c>
      <c r="C493" t="s">
        <v>145</v>
      </c>
      <c r="D493" t="s">
        <v>304</v>
      </c>
      <c r="E493" t="s">
        <v>2422</v>
      </c>
      <c r="F493" t="s">
        <v>2423</v>
      </c>
      <c r="G493" t="s">
        <v>1116</v>
      </c>
      <c r="H493" t="s">
        <v>150</v>
      </c>
      <c r="I493" t="s">
        <v>2424</v>
      </c>
      <c r="J493" t="s">
        <v>2425</v>
      </c>
      <c r="K493" t="s">
        <v>153</v>
      </c>
      <c r="L493" t="s">
        <v>154</v>
      </c>
      <c r="M493" t="s">
        <v>145</v>
      </c>
      <c r="N493" s="8"/>
      <c r="O493" s="8"/>
      <c r="P493" s="8"/>
      <c r="Q493" s="8"/>
      <c r="R493" s="8"/>
      <c r="S493" s="8"/>
      <c r="T493" s="8"/>
    </row>
    <row r="494" spans="1:20" x14ac:dyDescent="0.25">
      <c r="A494" s="7">
        <v>488</v>
      </c>
      <c r="B494" s="7" t="s">
        <v>2426</v>
      </c>
      <c r="C494" s="7" t="s">
        <v>145</v>
      </c>
      <c r="D494" s="7" t="s">
        <v>639</v>
      </c>
      <c r="E494" s="7" t="s">
        <v>2427</v>
      </c>
      <c r="F494" s="7" t="s">
        <v>2428</v>
      </c>
      <c r="G494" s="7" t="s">
        <v>615</v>
      </c>
      <c r="H494" s="7" t="s">
        <v>150</v>
      </c>
      <c r="I494" s="7" t="s">
        <v>2429</v>
      </c>
      <c r="J494" s="7" t="s">
        <v>2430</v>
      </c>
      <c r="K494" s="7" t="s">
        <v>153</v>
      </c>
      <c r="L494" s="7" t="s">
        <v>154</v>
      </c>
      <c r="M494" s="7" t="s">
        <v>162</v>
      </c>
      <c r="N494" s="8"/>
      <c r="O494" s="8"/>
      <c r="P494" s="8"/>
      <c r="Q494" s="8"/>
      <c r="R494" s="8"/>
      <c r="S494" s="8"/>
      <c r="T494" s="8"/>
    </row>
    <row r="495" spans="1:20" x14ac:dyDescent="0.25">
      <c r="A495">
        <v>463</v>
      </c>
      <c r="B495" t="s">
        <v>2431</v>
      </c>
      <c r="C495" t="s">
        <v>2432</v>
      </c>
      <c r="D495" t="s">
        <v>304</v>
      </c>
      <c r="E495" t="s">
        <v>2433</v>
      </c>
      <c r="F495" t="s">
        <v>2434</v>
      </c>
      <c r="G495" t="s">
        <v>2435</v>
      </c>
      <c r="H495" t="s">
        <v>150</v>
      </c>
      <c r="I495" t="s">
        <v>2436</v>
      </c>
      <c r="J495" t="s">
        <v>2437</v>
      </c>
      <c r="K495" t="s">
        <v>153</v>
      </c>
      <c r="L495" t="s">
        <v>85</v>
      </c>
      <c r="M495" t="s">
        <v>162</v>
      </c>
      <c r="N495" s="8"/>
      <c r="O495" s="8"/>
      <c r="P495" s="8"/>
      <c r="Q495" s="8"/>
      <c r="R495" s="8"/>
      <c r="S495" s="8"/>
      <c r="T495" s="8"/>
    </row>
    <row r="496" spans="1:20" x14ac:dyDescent="0.25">
      <c r="A496" s="7">
        <v>462</v>
      </c>
      <c r="B496" s="7" t="s">
        <v>2431</v>
      </c>
      <c r="C496" s="7" t="s">
        <v>2432</v>
      </c>
      <c r="D496" s="7" t="s">
        <v>304</v>
      </c>
      <c r="E496" s="7" t="s">
        <v>2433</v>
      </c>
      <c r="F496" s="7" t="s">
        <v>2438</v>
      </c>
      <c r="G496" s="7" t="s">
        <v>2435</v>
      </c>
      <c r="H496" s="7" t="s">
        <v>150</v>
      </c>
      <c r="I496" s="7" t="s">
        <v>2439</v>
      </c>
      <c r="J496" s="7" t="s">
        <v>2437</v>
      </c>
      <c r="K496" s="7" t="s">
        <v>153</v>
      </c>
      <c r="L496" s="7" t="s">
        <v>85</v>
      </c>
      <c r="M496" s="7" t="s">
        <v>162</v>
      </c>
      <c r="N496" s="8"/>
      <c r="O496" s="8"/>
      <c r="P496" s="8"/>
      <c r="Q496" s="8"/>
      <c r="R496" s="8"/>
      <c r="S496" s="8"/>
      <c r="T496" s="8"/>
    </row>
    <row r="497" spans="1:20" x14ac:dyDescent="0.25">
      <c r="A497">
        <v>534</v>
      </c>
      <c r="B497" t="s">
        <v>2440</v>
      </c>
      <c r="C497" t="s">
        <v>145</v>
      </c>
      <c r="D497" t="s">
        <v>1450</v>
      </c>
      <c r="E497" t="s">
        <v>2441</v>
      </c>
      <c r="F497" t="s">
        <v>2442</v>
      </c>
      <c r="G497" t="s">
        <v>183</v>
      </c>
      <c r="H497" t="s">
        <v>150</v>
      </c>
      <c r="I497" t="s">
        <v>2443</v>
      </c>
      <c r="J497" t="s">
        <v>2444</v>
      </c>
      <c r="K497" t="s">
        <v>153</v>
      </c>
      <c r="L497" t="s">
        <v>85</v>
      </c>
      <c r="M497" t="s">
        <v>145</v>
      </c>
      <c r="N497" s="8"/>
      <c r="O497" s="8"/>
      <c r="P497" s="8"/>
      <c r="Q497" s="8"/>
      <c r="R497" s="8"/>
      <c r="S497" s="8"/>
      <c r="T497" s="8"/>
    </row>
    <row r="498" spans="1:20" x14ac:dyDescent="0.25">
      <c r="A498" s="7">
        <v>636</v>
      </c>
      <c r="B498" s="7" t="s">
        <v>2445</v>
      </c>
      <c r="C498" s="7" t="s">
        <v>145</v>
      </c>
      <c r="D498" s="7" t="s">
        <v>417</v>
      </c>
      <c r="E498" s="7" t="s">
        <v>2446</v>
      </c>
      <c r="F498" s="7" t="s">
        <v>2447</v>
      </c>
      <c r="G498" s="7" t="s">
        <v>171</v>
      </c>
      <c r="H498" s="7" t="s">
        <v>150</v>
      </c>
      <c r="I498" s="7" t="s">
        <v>2448</v>
      </c>
      <c r="J498" s="7" t="s">
        <v>2449</v>
      </c>
      <c r="K498" s="7" t="s">
        <v>153</v>
      </c>
      <c r="L498" s="7" t="s">
        <v>154</v>
      </c>
      <c r="M498" s="7" t="s">
        <v>162</v>
      </c>
      <c r="N498" s="8"/>
      <c r="O498" s="8"/>
      <c r="P498" s="8"/>
      <c r="Q498" s="8"/>
      <c r="R498" s="8"/>
      <c r="S498" s="8"/>
      <c r="T498" s="8"/>
    </row>
    <row r="499" spans="1:20" x14ac:dyDescent="0.25">
      <c r="A499">
        <v>422</v>
      </c>
      <c r="B499" t="s">
        <v>2450</v>
      </c>
      <c r="C499" t="s">
        <v>145</v>
      </c>
      <c r="D499" t="s">
        <v>146</v>
      </c>
      <c r="E499" t="s">
        <v>2451</v>
      </c>
      <c r="F499" t="s">
        <v>2452</v>
      </c>
      <c r="G499" t="s">
        <v>183</v>
      </c>
      <c r="H499" t="s">
        <v>150</v>
      </c>
      <c r="I499" t="s">
        <v>2453</v>
      </c>
      <c r="J499" t="s">
        <v>2454</v>
      </c>
      <c r="K499" t="s">
        <v>153</v>
      </c>
      <c r="L499" t="s">
        <v>85</v>
      </c>
      <c r="M499" t="s">
        <v>145</v>
      </c>
      <c r="N499" s="8"/>
      <c r="O499" s="8"/>
      <c r="P499" s="8"/>
      <c r="Q499" s="8"/>
      <c r="R499" s="8"/>
      <c r="S499" s="8"/>
      <c r="T499" s="8"/>
    </row>
    <row r="500" spans="1:20" x14ac:dyDescent="0.25">
      <c r="A500" s="7">
        <v>644</v>
      </c>
      <c r="B500" s="7" t="s">
        <v>2455</v>
      </c>
      <c r="C500" s="7" t="s">
        <v>145</v>
      </c>
      <c r="D500" s="7" t="s">
        <v>346</v>
      </c>
      <c r="E500" s="7" t="s">
        <v>2455</v>
      </c>
      <c r="F500" s="7" t="s">
        <v>2456</v>
      </c>
      <c r="G500" s="7"/>
      <c r="H500" s="7" t="s">
        <v>150</v>
      </c>
      <c r="I500" s="7" t="s">
        <v>2457</v>
      </c>
      <c r="J500" s="7" t="s">
        <v>2458</v>
      </c>
      <c r="K500" s="7" t="s">
        <v>153</v>
      </c>
      <c r="L500" s="7" t="s">
        <v>154</v>
      </c>
      <c r="M500" s="7" t="s">
        <v>145</v>
      </c>
      <c r="N500" s="8"/>
      <c r="O500" s="8"/>
      <c r="P500" s="8"/>
      <c r="Q500" s="8"/>
      <c r="R500" s="8"/>
      <c r="S500" s="8"/>
      <c r="T500" s="8"/>
    </row>
    <row r="501" spans="1:20" x14ac:dyDescent="0.25">
      <c r="A501">
        <v>706</v>
      </c>
      <c r="B501" t="s">
        <v>2459</v>
      </c>
      <c r="C501" t="s">
        <v>145</v>
      </c>
      <c r="D501" t="s">
        <v>145</v>
      </c>
      <c r="E501" t="s">
        <v>2460</v>
      </c>
      <c r="F501" t="s">
        <v>2461</v>
      </c>
      <c r="G501" t="s">
        <v>183</v>
      </c>
      <c r="H501" t="s">
        <v>150</v>
      </c>
      <c r="I501" t="s">
        <v>2462</v>
      </c>
      <c r="J501" t="s">
        <v>2463</v>
      </c>
      <c r="K501" t="s">
        <v>153</v>
      </c>
      <c r="L501" t="s">
        <v>154</v>
      </c>
      <c r="M501" t="s">
        <v>145</v>
      </c>
      <c r="N501" s="8"/>
      <c r="O501" s="8"/>
      <c r="P501" s="8"/>
      <c r="Q501" s="8"/>
      <c r="R501" s="8"/>
      <c r="S501" s="8"/>
      <c r="T501" s="8"/>
    </row>
    <row r="502" spans="1:20" x14ac:dyDescent="0.25">
      <c r="A502" s="7">
        <v>740</v>
      </c>
      <c r="B502" s="7" t="s">
        <v>2464</v>
      </c>
      <c r="C502" s="7" t="s">
        <v>2344</v>
      </c>
      <c r="D502" s="7" t="s">
        <v>145</v>
      </c>
      <c r="E502" s="7" t="s">
        <v>2345</v>
      </c>
      <c r="F502" s="7" t="s">
        <v>2465</v>
      </c>
      <c r="G502" s="7" t="s">
        <v>2203</v>
      </c>
      <c r="H502" s="7" t="s">
        <v>150</v>
      </c>
      <c r="I502" s="7" t="s">
        <v>1238</v>
      </c>
      <c r="J502" s="7" t="s">
        <v>498</v>
      </c>
      <c r="K502" s="7" t="s">
        <v>153</v>
      </c>
      <c r="L502" s="7" t="s">
        <v>154</v>
      </c>
      <c r="M502" s="7" t="s">
        <v>162</v>
      </c>
      <c r="N502" s="8"/>
      <c r="O502" s="8"/>
      <c r="P502" s="8"/>
      <c r="Q502" s="8"/>
      <c r="R502" s="8"/>
      <c r="S502" s="8"/>
      <c r="T502" s="8"/>
    </row>
    <row r="503" spans="1:20" x14ac:dyDescent="0.25">
      <c r="A503">
        <v>749</v>
      </c>
      <c r="B503" t="s">
        <v>2466</v>
      </c>
      <c r="C503" t="s">
        <v>145</v>
      </c>
      <c r="D503" t="s">
        <v>287</v>
      </c>
      <c r="E503" t="s">
        <v>2467</v>
      </c>
      <c r="F503" t="s">
        <v>2468</v>
      </c>
      <c r="G503" t="s">
        <v>920</v>
      </c>
      <c r="H503" t="s">
        <v>215</v>
      </c>
      <c r="I503" t="s">
        <v>2469</v>
      </c>
      <c r="K503" t="s">
        <v>153</v>
      </c>
      <c r="L503" t="s">
        <v>154</v>
      </c>
      <c r="M503" t="s">
        <v>162</v>
      </c>
      <c r="N503" s="8"/>
      <c r="O503" s="8"/>
      <c r="P503" s="8"/>
      <c r="Q503" s="8"/>
      <c r="R503" s="8"/>
      <c r="S503" s="8"/>
      <c r="T503" s="8"/>
    </row>
  </sheetData>
  <autoFilter ref="A1:T503" xr:uid="{00000000-0009-0000-0000-000002000000}"/>
  <dataValidations count="1">
    <dataValidation type="list" allowBlank="1" sqref="N2:N503" xr:uid="{00000000-0002-0000-0200-000000000000}">
      <formula1>"Sim,Não,Parcial"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6A34A"/>
  </sheetPr>
  <dimension ref="A1:M304"/>
  <sheetViews>
    <sheetView showGridLines="0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ColWidth="8.85546875" defaultRowHeight="15" x14ac:dyDescent="0.25"/>
  <cols>
    <col min="1" max="1" width="36" customWidth="1"/>
    <col min="2" max="2" width="22" customWidth="1"/>
    <col min="3" max="3" width="18" customWidth="1"/>
    <col min="4" max="4" width="22" customWidth="1"/>
    <col min="5" max="5" width="5" customWidth="1"/>
    <col min="6" max="10" width="14" customWidth="1"/>
    <col min="11" max="13" width="11" customWidth="1"/>
  </cols>
  <sheetData>
    <row r="1" spans="1:13" ht="27.95" customHeight="1" x14ac:dyDescent="0.25">
      <c r="A1" s="9" t="s">
        <v>2470</v>
      </c>
      <c r="B1" s="9" t="s">
        <v>129</v>
      </c>
      <c r="C1" s="9" t="s">
        <v>130</v>
      </c>
      <c r="D1" s="9" t="s">
        <v>132</v>
      </c>
      <c r="E1" s="9" t="s">
        <v>133</v>
      </c>
      <c r="F1" s="9" t="s">
        <v>2471</v>
      </c>
      <c r="G1" s="9" t="s">
        <v>2472</v>
      </c>
      <c r="H1" s="9" t="s">
        <v>2473</v>
      </c>
      <c r="I1" s="9" t="s">
        <v>2474</v>
      </c>
      <c r="J1" s="9" t="s">
        <v>2475</v>
      </c>
      <c r="K1" s="9" t="s">
        <v>2476</v>
      </c>
      <c r="L1" s="9" t="s">
        <v>2477</v>
      </c>
      <c r="M1" s="9" t="s">
        <v>2478</v>
      </c>
    </row>
    <row r="2" spans="1:13" x14ac:dyDescent="0.25">
      <c r="A2" s="7" t="s">
        <v>155</v>
      </c>
      <c r="B2" s="7" t="s">
        <v>145</v>
      </c>
      <c r="C2" s="7" t="s">
        <v>156</v>
      </c>
      <c r="D2" s="7" t="s">
        <v>159</v>
      </c>
      <c r="E2" s="7" t="s">
        <v>150</v>
      </c>
      <c r="F2" s="10">
        <v>0</v>
      </c>
      <c r="G2" s="10">
        <v>3992.5898400000001</v>
      </c>
      <c r="H2" s="10">
        <v>0</v>
      </c>
      <c r="I2" s="10">
        <v>0</v>
      </c>
      <c r="J2" s="11">
        <v>3992.5898400000001</v>
      </c>
      <c r="K2" s="12" t="s">
        <v>2479</v>
      </c>
      <c r="L2" s="13">
        <v>-1</v>
      </c>
      <c r="M2" s="7" t="s">
        <v>145</v>
      </c>
    </row>
    <row r="3" spans="1:13" x14ac:dyDescent="0.25">
      <c r="A3" t="s">
        <v>168</v>
      </c>
      <c r="B3" t="s">
        <v>145</v>
      </c>
      <c r="C3" t="s">
        <v>146</v>
      </c>
      <c r="D3" t="s">
        <v>171</v>
      </c>
      <c r="E3" t="s">
        <v>150</v>
      </c>
      <c r="F3" s="14">
        <v>34140.305760000003</v>
      </c>
      <c r="G3" s="14">
        <v>37812.749159999999</v>
      </c>
      <c r="H3" s="14">
        <v>36111.976319999987</v>
      </c>
      <c r="I3" s="14">
        <v>16822.989440000001</v>
      </c>
      <c r="J3" s="15">
        <v>124888.02068</v>
      </c>
      <c r="K3" s="16">
        <v>0.10756914205211281</v>
      </c>
      <c r="L3" s="17">
        <v>-4.4978820048322703E-2</v>
      </c>
      <c r="M3" s="18">
        <v>-0.53414376186653401</v>
      </c>
    </row>
    <row r="4" spans="1:13" x14ac:dyDescent="0.25">
      <c r="A4" s="7" t="s">
        <v>211</v>
      </c>
      <c r="B4" s="7" t="s">
        <v>145</v>
      </c>
      <c r="C4" s="7" t="s">
        <v>145</v>
      </c>
      <c r="D4" s="7" t="s">
        <v>214</v>
      </c>
      <c r="E4" s="7" t="s">
        <v>215</v>
      </c>
      <c r="F4" s="10">
        <v>4976.16</v>
      </c>
      <c r="G4" s="10">
        <v>1658.72</v>
      </c>
      <c r="H4" s="10">
        <v>0</v>
      </c>
      <c r="I4" s="10">
        <v>0</v>
      </c>
      <c r="J4" s="11">
        <v>6634.88</v>
      </c>
      <c r="K4" s="13">
        <v>-0.66666666666666663</v>
      </c>
      <c r="L4" s="13">
        <v>-1</v>
      </c>
      <c r="M4" s="7" t="s">
        <v>145</v>
      </c>
    </row>
    <row r="5" spans="1:13" x14ac:dyDescent="0.25">
      <c r="A5" t="s">
        <v>218</v>
      </c>
      <c r="B5" t="s">
        <v>145</v>
      </c>
      <c r="C5" t="s">
        <v>146</v>
      </c>
      <c r="D5" t="s">
        <v>221</v>
      </c>
      <c r="E5" t="s">
        <v>150</v>
      </c>
      <c r="F5" s="14">
        <v>2101.4586899999999</v>
      </c>
      <c r="G5" s="14">
        <v>272.59877999999998</v>
      </c>
      <c r="H5" s="14">
        <v>0</v>
      </c>
      <c r="I5" s="14">
        <v>0</v>
      </c>
      <c r="J5" s="15">
        <v>2374.0574700000002</v>
      </c>
      <c r="K5" s="18">
        <v>-0.87028116170106584</v>
      </c>
      <c r="L5" s="18">
        <v>-1</v>
      </c>
      <c r="M5" t="s">
        <v>145</v>
      </c>
    </row>
    <row r="6" spans="1:13" x14ac:dyDescent="0.25">
      <c r="A6" s="7" t="s">
        <v>224</v>
      </c>
      <c r="B6" s="7" t="s">
        <v>145</v>
      </c>
      <c r="C6" s="7" t="s">
        <v>146</v>
      </c>
      <c r="D6" s="7" t="s">
        <v>159</v>
      </c>
      <c r="E6" s="7" t="s">
        <v>150</v>
      </c>
      <c r="F6" s="10">
        <v>1848.6928</v>
      </c>
      <c r="G6" s="10">
        <v>272.59877999999998</v>
      </c>
      <c r="H6" s="10">
        <v>0</v>
      </c>
      <c r="I6" s="10">
        <v>0</v>
      </c>
      <c r="J6" s="11">
        <v>2121.2915800000001</v>
      </c>
      <c r="K6" s="13">
        <v>-0.85254511728503513</v>
      </c>
      <c r="L6" s="13">
        <v>-1</v>
      </c>
      <c r="M6" s="7" t="s">
        <v>145</v>
      </c>
    </row>
    <row r="7" spans="1:13" x14ac:dyDescent="0.25">
      <c r="A7" t="s">
        <v>229</v>
      </c>
      <c r="B7" t="s">
        <v>145</v>
      </c>
      <c r="C7" t="s">
        <v>146</v>
      </c>
      <c r="D7" t="s">
        <v>232</v>
      </c>
      <c r="E7" t="s">
        <v>150</v>
      </c>
      <c r="F7" s="14">
        <v>2797.5542300000002</v>
      </c>
      <c r="G7" s="14">
        <v>259.59926000000002</v>
      </c>
      <c r="H7" s="14">
        <v>0</v>
      </c>
      <c r="I7" s="14">
        <v>0</v>
      </c>
      <c r="J7" s="15">
        <v>3057.1534900000001</v>
      </c>
      <c r="K7" s="18">
        <v>-0.90720492306595968</v>
      </c>
      <c r="L7" s="18">
        <v>-1</v>
      </c>
      <c r="M7" t="s">
        <v>145</v>
      </c>
    </row>
    <row r="8" spans="1:13" x14ac:dyDescent="0.25">
      <c r="A8" s="7" t="s">
        <v>235</v>
      </c>
      <c r="B8" s="7" t="s">
        <v>145</v>
      </c>
      <c r="C8" s="7" t="s">
        <v>146</v>
      </c>
      <c r="D8" s="7" t="s">
        <v>238</v>
      </c>
      <c r="E8" s="7" t="s">
        <v>150</v>
      </c>
      <c r="F8" s="10">
        <v>2061.7928900000002</v>
      </c>
      <c r="G8" s="10">
        <v>272.59877999999998</v>
      </c>
      <c r="H8" s="10">
        <v>0</v>
      </c>
      <c r="I8" s="10">
        <v>0</v>
      </c>
      <c r="J8" s="11">
        <v>2334.39167</v>
      </c>
      <c r="K8" s="13">
        <v>-0.8677855659886381</v>
      </c>
      <c r="L8" s="13">
        <v>-1</v>
      </c>
      <c r="M8" s="7" t="s">
        <v>145</v>
      </c>
    </row>
    <row r="9" spans="1:13" x14ac:dyDescent="0.25">
      <c r="A9" t="s">
        <v>255</v>
      </c>
      <c r="B9" t="s">
        <v>145</v>
      </c>
      <c r="C9" t="s">
        <v>145</v>
      </c>
      <c r="D9" t="s">
        <v>149</v>
      </c>
      <c r="E9" t="s">
        <v>150</v>
      </c>
      <c r="F9" s="14">
        <v>1071.3905199999999</v>
      </c>
      <c r="G9" s="14">
        <v>960.99814000000003</v>
      </c>
      <c r="H9" s="14">
        <v>0</v>
      </c>
      <c r="I9" s="14">
        <v>0</v>
      </c>
      <c r="J9" s="15">
        <v>2032.3886600000001</v>
      </c>
      <c r="K9" s="18">
        <v>-0.1030365473086321</v>
      </c>
      <c r="L9" s="18">
        <v>-1</v>
      </c>
      <c r="M9" t="s">
        <v>145</v>
      </c>
    </row>
    <row r="10" spans="1:13" x14ac:dyDescent="0.25">
      <c r="A10" s="7" t="s">
        <v>281</v>
      </c>
      <c r="B10" s="7" t="s">
        <v>145</v>
      </c>
      <c r="C10" s="7" t="s">
        <v>145</v>
      </c>
      <c r="D10" s="7" t="s">
        <v>149</v>
      </c>
      <c r="E10" s="7" t="s">
        <v>150</v>
      </c>
      <c r="F10" s="10">
        <v>1467.99415</v>
      </c>
      <c r="G10" s="10">
        <v>0</v>
      </c>
      <c r="H10" s="10">
        <v>0</v>
      </c>
      <c r="I10" s="10">
        <v>0</v>
      </c>
      <c r="J10" s="11">
        <v>1467.99415</v>
      </c>
      <c r="K10" s="13">
        <v>-1</v>
      </c>
      <c r="L10" s="7" t="s">
        <v>145</v>
      </c>
      <c r="M10" s="7" t="s">
        <v>145</v>
      </c>
    </row>
    <row r="11" spans="1:13" x14ac:dyDescent="0.25">
      <c r="A11" t="s">
        <v>286</v>
      </c>
      <c r="B11" t="s">
        <v>145</v>
      </c>
      <c r="C11" t="s">
        <v>287</v>
      </c>
      <c r="D11" t="s">
        <v>290</v>
      </c>
      <c r="E11" t="s">
        <v>150</v>
      </c>
      <c r="F11" s="14">
        <v>837944.94802999985</v>
      </c>
      <c r="G11" s="14">
        <v>1645728.4636299999</v>
      </c>
      <c r="H11" s="14">
        <v>1500020.4448599999</v>
      </c>
      <c r="I11" s="14">
        <v>181545.08892000001</v>
      </c>
      <c r="J11" s="15">
        <v>4165238.9454399999</v>
      </c>
      <c r="K11" s="16">
        <v>0.96400547255412328</v>
      </c>
      <c r="L11" s="18">
        <v>-8.8537095875834859E-2</v>
      </c>
      <c r="M11" s="18">
        <v>-0.87897159032592787</v>
      </c>
    </row>
    <row r="12" spans="1:13" x14ac:dyDescent="0.25">
      <c r="A12" s="7" t="s">
        <v>316</v>
      </c>
      <c r="B12" s="7" t="s">
        <v>310</v>
      </c>
      <c r="C12" s="7" t="s">
        <v>287</v>
      </c>
      <c r="D12" s="7" t="s">
        <v>159</v>
      </c>
      <c r="E12" s="7" t="s">
        <v>150</v>
      </c>
      <c r="F12" s="10">
        <v>14356.014160000001</v>
      </c>
      <c r="G12" s="10">
        <v>25928.64702</v>
      </c>
      <c r="H12" s="10">
        <v>30166.823649999998</v>
      </c>
      <c r="I12" s="10">
        <v>6618.5769799999998</v>
      </c>
      <c r="J12" s="11">
        <v>77070.061809999999</v>
      </c>
      <c r="K12" s="19">
        <v>0.80611740355095884</v>
      </c>
      <c r="L12" s="19">
        <v>0.16345537145578379</v>
      </c>
      <c r="M12" s="13">
        <v>-0.78060079984589292</v>
      </c>
    </row>
    <row r="13" spans="1:13" x14ac:dyDescent="0.25">
      <c r="A13" t="s">
        <v>320</v>
      </c>
      <c r="B13" t="s">
        <v>145</v>
      </c>
      <c r="C13" t="s">
        <v>146</v>
      </c>
      <c r="D13" t="s">
        <v>323</v>
      </c>
      <c r="E13" t="s">
        <v>150</v>
      </c>
      <c r="F13" s="14">
        <v>673.14505999999994</v>
      </c>
      <c r="G13" s="14">
        <v>768.26013</v>
      </c>
      <c r="H13" s="14">
        <v>0</v>
      </c>
      <c r="I13" s="14">
        <v>0</v>
      </c>
      <c r="J13" s="15">
        <v>1441.4051899999999</v>
      </c>
      <c r="K13" s="16">
        <v>0.14129951425328749</v>
      </c>
      <c r="L13" s="18">
        <v>-1</v>
      </c>
      <c r="M13" t="s">
        <v>145</v>
      </c>
    </row>
    <row r="14" spans="1:13" x14ac:dyDescent="0.25">
      <c r="A14" s="7" t="s">
        <v>331</v>
      </c>
      <c r="B14" s="7" t="s">
        <v>145</v>
      </c>
      <c r="C14" s="7" t="s">
        <v>146</v>
      </c>
      <c r="D14" s="7" t="s">
        <v>221</v>
      </c>
      <c r="E14" s="7" t="s">
        <v>150</v>
      </c>
      <c r="F14" s="10">
        <v>3171.41122</v>
      </c>
      <c r="G14" s="10">
        <v>2233.2370099999998</v>
      </c>
      <c r="H14" s="10">
        <v>2877.02385</v>
      </c>
      <c r="I14" s="10">
        <v>1233.0102199999999</v>
      </c>
      <c r="J14" s="11">
        <v>9514.6823000000004</v>
      </c>
      <c r="K14" s="13">
        <v>-0.29582231534137038</v>
      </c>
      <c r="L14" s="19">
        <v>0.28827519744534408</v>
      </c>
      <c r="M14" s="13">
        <v>-0.57142857192511631</v>
      </c>
    </row>
    <row r="15" spans="1:13" x14ac:dyDescent="0.25">
      <c r="A15" t="s">
        <v>351</v>
      </c>
      <c r="B15" t="s">
        <v>145</v>
      </c>
      <c r="C15" t="s">
        <v>311</v>
      </c>
      <c r="D15" t="s">
        <v>354</v>
      </c>
      <c r="E15" t="s">
        <v>150</v>
      </c>
      <c r="F15" s="14">
        <v>21884.029119999999</v>
      </c>
      <c r="G15" s="14">
        <v>42112.80085</v>
      </c>
      <c r="H15" s="14">
        <v>25961.340950000002</v>
      </c>
      <c r="I15" s="14">
        <v>0</v>
      </c>
      <c r="J15" s="15">
        <v>89958.170920000004</v>
      </c>
      <c r="K15" s="16">
        <v>0.92436231093810572</v>
      </c>
      <c r="L15" s="18">
        <v>-0.38352851327864129</v>
      </c>
      <c r="M15" s="18">
        <v>-1</v>
      </c>
    </row>
    <row r="16" spans="1:13" x14ac:dyDescent="0.25">
      <c r="A16" s="7" t="s">
        <v>357</v>
      </c>
      <c r="B16" s="7" t="s">
        <v>358</v>
      </c>
      <c r="C16" s="7" t="s">
        <v>346</v>
      </c>
      <c r="D16" s="7" t="s">
        <v>361</v>
      </c>
      <c r="E16" s="7" t="s">
        <v>150</v>
      </c>
      <c r="F16" s="10">
        <v>168413.16821</v>
      </c>
      <c r="G16" s="10">
        <v>247194.36833999999</v>
      </c>
      <c r="H16" s="10">
        <v>240077.51376999999</v>
      </c>
      <c r="I16" s="10">
        <v>24131.08396</v>
      </c>
      <c r="J16" s="11">
        <v>679816.13427999988</v>
      </c>
      <c r="K16" s="19">
        <v>0.46778527455623348</v>
      </c>
      <c r="L16" s="20">
        <v>-2.8790520665143919E-2</v>
      </c>
      <c r="M16" s="13">
        <v>-0.89948628015567444</v>
      </c>
    </row>
    <row r="17" spans="1:13" x14ac:dyDescent="0.25">
      <c r="A17" t="s">
        <v>2480</v>
      </c>
      <c r="B17" t="s">
        <v>145</v>
      </c>
      <c r="C17" t="s">
        <v>304</v>
      </c>
      <c r="D17" t="s">
        <v>1410</v>
      </c>
      <c r="E17" t="s">
        <v>215</v>
      </c>
      <c r="F17" s="14">
        <v>143985.7188</v>
      </c>
      <c r="G17" s="14">
        <v>0</v>
      </c>
      <c r="H17" s="14">
        <v>0</v>
      </c>
      <c r="I17" s="14">
        <v>0</v>
      </c>
      <c r="J17" s="15">
        <v>143985.7188</v>
      </c>
      <c r="K17" s="18">
        <v>-1</v>
      </c>
      <c r="L17" t="s">
        <v>145</v>
      </c>
      <c r="M17" t="s">
        <v>145</v>
      </c>
    </row>
    <row r="18" spans="1:13" x14ac:dyDescent="0.25">
      <c r="A18" s="7" t="s">
        <v>380</v>
      </c>
      <c r="B18" s="7" t="s">
        <v>381</v>
      </c>
      <c r="C18" s="7" t="s">
        <v>145</v>
      </c>
      <c r="D18" s="7" t="s">
        <v>384</v>
      </c>
      <c r="E18" s="7" t="s">
        <v>150</v>
      </c>
      <c r="F18" s="10">
        <v>0</v>
      </c>
      <c r="G18" s="10">
        <v>1872.66662</v>
      </c>
      <c r="H18" s="10">
        <v>3115.2703200000001</v>
      </c>
      <c r="I18" s="10">
        <v>2163.3974400000002</v>
      </c>
      <c r="J18" s="11">
        <v>7151.3343799999993</v>
      </c>
      <c r="K18" s="12" t="s">
        <v>2479</v>
      </c>
      <c r="L18" s="19">
        <v>0.66354773814465684</v>
      </c>
      <c r="M18" s="13">
        <v>-0.3055506528242467</v>
      </c>
    </row>
    <row r="19" spans="1:13" x14ac:dyDescent="0.25">
      <c r="A19" t="s">
        <v>387</v>
      </c>
      <c r="B19" t="s">
        <v>381</v>
      </c>
      <c r="C19" t="s">
        <v>311</v>
      </c>
      <c r="D19" t="s">
        <v>390</v>
      </c>
      <c r="E19" t="s">
        <v>150</v>
      </c>
      <c r="F19" s="14">
        <v>6870.7551200000007</v>
      </c>
      <c r="G19" s="14">
        <v>9845.6677199999995</v>
      </c>
      <c r="H19" s="14">
        <v>7521.6446199999991</v>
      </c>
      <c r="I19" s="14">
        <v>2216.35896</v>
      </c>
      <c r="J19" s="15">
        <v>26454.42642</v>
      </c>
      <c r="K19" s="16">
        <v>0.43298189908418661</v>
      </c>
      <c r="L19" s="18">
        <v>-0.23604525016409961</v>
      </c>
      <c r="M19" s="18">
        <v>-0.70533585778478325</v>
      </c>
    </row>
    <row r="20" spans="1:13" x14ac:dyDescent="0.25">
      <c r="A20" s="7" t="s">
        <v>410</v>
      </c>
      <c r="B20" s="7" t="s">
        <v>145</v>
      </c>
      <c r="C20" s="7" t="s">
        <v>145</v>
      </c>
      <c r="D20" s="7" t="s">
        <v>413</v>
      </c>
      <c r="E20" s="7" t="s">
        <v>150</v>
      </c>
      <c r="F20" s="10">
        <v>0</v>
      </c>
      <c r="G20" s="10">
        <v>6647.1410500000002</v>
      </c>
      <c r="H20" s="10">
        <v>0</v>
      </c>
      <c r="I20" s="10">
        <v>0</v>
      </c>
      <c r="J20" s="11">
        <v>6647.1410500000002</v>
      </c>
      <c r="K20" s="12" t="s">
        <v>2479</v>
      </c>
      <c r="L20" s="13">
        <v>-1</v>
      </c>
      <c r="M20" s="7" t="s">
        <v>145</v>
      </c>
    </row>
    <row r="21" spans="1:13" x14ac:dyDescent="0.25">
      <c r="A21" t="s">
        <v>416</v>
      </c>
      <c r="B21" t="s">
        <v>145</v>
      </c>
      <c r="C21" t="s">
        <v>417</v>
      </c>
      <c r="D21" t="s">
        <v>149</v>
      </c>
      <c r="E21" t="s">
        <v>150</v>
      </c>
      <c r="F21" s="14">
        <v>3329.3977599999998</v>
      </c>
      <c r="G21" s="14">
        <v>0</v>
      </c>
      <c r="H21" s="14">
        <v>0</v>
      </c>
      <c r="I21" s="14">
        <v>0</v>
      </c>
      <c r="J21" s="15">
        <v>3329.3977599999998</v>
      </c>
      <c r="K21" s="18">
        <v>-1</v>
      </c>
      <c r="L21" t="s">
        <v>145</v>
      </c>
      <c r="M21" t="s">
        <v>145</v>
      </c>
    </row>
    <row r="22" spans="1:13" x14ac:dyDescent="0.25">
      <c r="A22" s="7" t="s">
        <v>431</v>
      </c>
      <c r="B22" s="7" t="s">
        <v>145</v>
      </c>
      <c r="C22" s="7" t="s">
        <v>287</v>
      </c>
      <c r="D22" s="7" t="s">
        <v>434</v>
      </c>
      <c r="E22" s="7" t="s">
        <v>150</v>
      </c>
      <c r="F22" s="10">
        <v>15060.88</v>
      </c>
      <c r="G22" s="10">
        <v>0</v>
      </c>
      <c r="H22" s="10">
        <v>0</v>
      </c>
      <c r="I22" s="10">
        <v>0</v>
      </c>
      <c r="J22" s="11">
        <v>15060.88</v>
      </c>
      <c r="K22" s="13">
        <v>-1</v>
      </c>
      <c r="L22" s="7" t="s">
        <v>145</v>
      </c>
      <c r="M22" s="7" t="s">
        <v>145</v>
      </c>
    </row>
    <row r="23" spans="1:13" x14ac:dyDescent="0.25">
      <c r="A23" t="s">
        <v>441</v>
      </c>
      <c r="B23" t="s">
        <v>442</v>
      </c>
      <c r="C23" t="s">
        <v>304</v>
      </c>
      <c r="D23" t="s">
        <v>198</v>
      </c>
      <c r="E23" t="s">
        <v>150</v>
      </c>
      <c r="F23" s="14">
        <v>462731.88709999999</v>
      </c>
      <c r="G23" s="14">
        <v>477033.78120000003</v>
      </c>
      <c r="H23" s="14">
        <v>826779.80697000003</v>
      </c>
      <c r="I23" s="14">
        <v>246423.43277000001</v>
      </c>
      <c r="J23" s="15">
        <v>2012968.9080399999</v>
      </c>
      <c r="K23" s="17">
        <v>3.09075179357787E-2</v>
      </c>
      <c r="L23" s="16">
        <v>0.733168256743156</v>
      </c>
      <c r="M23" s="18">
        <v>-0.70194793015918244</v>
      </c>
    </row>
    <row r="24" spans="1:13" x14ac:dyDescent="0.25">
      <c r="A24" s="7" t="s">
        <v>463</v>
      </c>
      <c r="B24" s="7" t="s">
        <v>145</v>
      </c>
      <c r="C24" s="7" t="s">
        <v>145</v>
      </c>
      <c r="D24" s="7" t="s">
        <v>466</v>
      </c>
      <c r="E24" s="7" t="s">
        <v>150</v>
      </c>
      <c r="F24" s="10">
        <v>0</v>
      </c>
      <c r="G24" s="10">
        <v>1162.07537</v>
      </c>
      <c r="H24" s="10">
        <v>0</v>
      </c>
      <c r="I24" s="10">
        <v>0</v>
      </c>
      <c r="J24" s="11">
        <v>1162.07537</v>
      </c>
      <c r="K24" s="12" t="s">
        <v>2479</v>
      </c>
      <c r="L24" s="13">
        <v>-1</v>
      </c>
      <c r="M24" s="7" t="s">
        <v>145</v>
      </c>
    </row>
    <row r="25" spans="1:13" x14ac:dyDescent="0.25">
      <c r="A25" t="s">
        <v>469</v>
      </c>
      <c r="B25" t="s">
        <v>145</v>
      </c>
      <c r="C25" t="s">
        <v>145</v>
      </c>
      <c r="D25" t="s">
        <v>472</v>
      </c>
      <c r="E25" t="s">
        <v>150</v>
      </c>
      <c r="F25" s="14">
        <v>0</v>
      </c>
      <c r="G25" s="14">
        <v>0</v>
      </c>
      <c r="H25" s="14">
        <v>5461.8126700000003</v>
      </c>
      <c r="I25" s="14">
        <v>0</v>
      </c>
      <c r="J25" s="15">
        <v>5461.8126700000003</v>
      </c>
      <c r="K25" t="s">
        <v>145</v>
      </c>
      <c r="L25" s="21" t="s">
        <v>2479</v>
      </c>
      <c r="M25" s="18">
        <v>-1</v>
      </c>
    </row>
    <row r="26" spans="1:13" x14ac:dyDescent="0.25">
      <c r="A26" s="7" t="s">
        <v>480</v>
      </c>
      <c r="B26" s="7" t="s">
        <v>481</v>
      </c>
      <c r="C26" s="7" t="s">
        <v>304</v>
      </c>
      <c r="D26" s="7" t="s">
        <v>159</v>
      </c>
      <c r="E26" s="7" t="s">
        <v>150</v>
      </c>
      <c r="F26" s="10">
        <v>19324.072820000001</v>
      </c>
      <c r="G26" s="10">
        <v>24674.991880000001</v>
      </c>
      <c r="H26" s="10">
        <v>16107.026809999999</v>
      </c>
      <c r="I26" s="10">
        <v>0</v>
      </c>
      <c r="J26" s="11">
        <v>60106.091509999998</v>
      </c>
      <c r="K26" s="19">
        <v>0.27690431048582648</v>
      </c>
      <c r="L26" s="13">
        <v>-0.34723274121701547</v>
      </c>
      <c r="M26" s="13">
        <v>-1</v>
      </c>
    </row>
    <row r="27" spans="1:13" x14ac:dyDescent="0.25">
      <c r="A27" t="s">
        <v>486</v>
      </c>
      <c r="B27" t="s">
        <v>481</v>
      </c>
      <c r="C27" t="s">
        <v>304</v>
      </c>
      <c r="D27" t="s">
        <v>159</v>
      </c>
      <c r="E27" t="s">
        <v>150</v>
      </c>
      <c r="F27" s="14">
        <v>26092.830119999999</v>
      </c>
      <c r="G27" s="14">
        <v>17852.687569999998</v>
      </c>
      <c r="H27" s="14">
        <v>11013.51771</v>
      </c>
      <c r="I27" s="14">
        <v>0</v>
      </c>
      <c r="J27" s="15">
        <v>54959.035400000001</v>
      </c>
      <c r="K27" s="18">
        <v>-0.31580102702941282</v>
      </c>
      <c r="L27" s="18">
        <v>-0.38308909138659181</v>
      </c>
      <c r="M27" s="18">
        <v>-1</v>
      </c>
    </row>
    <row r="28" spans="1:13" x14ac:dyDescent="0.25">
      <c r="A28" s="7" t="s">
        <v>490</v>
      </c>
      <c r="B28" s="7" t="s">
        <v>481</v>
      </c>
      <c r="C28" s="7" t="s">
        <v>304</v>
      </c>
      <c r="D28" s="7" t="s">
        <v>238</v>
      </c>
      <c r="E28" s="7" t="s">
        <v>150</v>
      </c>
      <c r="F28" s="10">
        <v>34961.442060000001</v>
      </c>
      <c r="G28" s="10">
        <v>31148.19530000001</v>
      </c>
      <c r="H28" s="10">
        <v>18225.334050000001</v>
      </c>
      <c r="I28" s="10">
        <v>0</v>
      </c>
      <c r="J28" s="11">
        <v>84334.971410000013</v>
      </c>
      <c r="K28" s="13">
        <v>-0.1090700650578369</v>
      </c>
      <c r="L28" s="13">
        <v>-0.41488314573396817</v>
      </c>
      <c r="M28" s="13">
        <v>-1</v>
      </c>
    </row>
    <row r="29" spans="1:13" x14ac:dyDescent="0.25">
      <c r="A29" t="s">
        <v>494</v>
      </c>
      <c r="B29" t="s">
        <v>145</v>
      </c>
      <c r="C29" t="s">
        <v>346</v>
      </c>
      <c r="D29" t="s">
        <v>496</v>
      </c>
      <c r="E29" t="s">
        <v>150</v>
      </c>
      <c r="F29" s="14">
        <v>47206.728990000003</v>
      </c>
      <c r="G29" s="14">
        <v>76115.912580000004</v>
      </c>
      <c r="H29" s="14">
        <v>0</v>
      </c>
      <c r="I29" s="14">
        <v>0</v>
      </c>
      <c r="J29" s="15">
        <v>123322.64157000001</v>
      </c>
      <c r="K29" s="16">
        <v>0.61239539804005405</v>
      </c>
      <c r="L29" s="18">
        <v>-1</v>
      </c>
      <c r="M29" t="s">
        <v>145</v>
      </c>
    </row>
    <row r="30" spans="1:13" x14ac:dyDescent="0.25">
      <c r="A30" s="7" t="s">
        <v>499</v>
      </c>
      <c r="B30" s="7" t="s">
        <v>145</v>
      </c>
      <c r="C30" s="7" t="s">
        <v>145</v>
      </c>
      <c r="D30" s="7" t="s">
        <v>502</v>
      </c>
      <c r="E30" s="7" t="s">
        <v>150</v>
      </c>
      <c r="F30" s="10">
        <v>2972.4080199999999</v>
      </c>
      <c r="G30" s="10">
        <v>8271.4642899999999</v>
      </c>
      <c r="H30" s="10">
        <v>0</v>
      </c>
      <c r="I30" s="10">
        <v>0</v>
      </c>
      <c r="J30" s="11">
        <v>11243.872310000001</v>
      </c>
      <c r="K30" s="19">
        <v>1.7827486113430691</v>
      </c>
      <c r="L30" s="13">
        <v>-1</v>
      </c>
      <c r="M30" s="7" t="s">
        <v>145</v>
      </c>
    </row>
    <row r="31" spans="1:13" x14ac:dyDescent="0.25">
      <c r="A31" t="s">
        <v>505</v>
      </c>
      <c r="B31" t="s">
        <v>145</v>
      </c>
      <c r="C31" t="s">
        <v>417</v>
      </c>
      <c r="D31" t="s">
        <v>171</v>
      </c>
      <c r="E31" t="s">
        <v>150</v>
      </c>
      <c r="F31" s="14">
        <v>3755.4457200000002</v>
      </c>
      <c r="G31" s="14">
        <v>4453.8346700000002</v>
      </c>
      <c r="H31" s="14">
        <v>6990.6836799999992</v>
      </c>
      <c r="I31" s="14">
        <v>0</v>
      </c>
      <c r="J31" s="15">
        <v>15199.96407</v>
      </c>
      <c r="K31" s="16">
        <v>0.18596699355303159</v>
      </c>
      <c r="L31" s="16">
        <v>0.56958760213701398</v>
      </c>
      <c r="M31" s="18">
        <v>-1</v>
      </c>
    </row>
    <row r="32" spans="1:13" x14ac:dyDescent="0.25">
      <c r="A32" s="7" t="s">
        <v>509</v>
      </c>
      <c r="B32" s="7" t="s">
        <v>145</v>
      </c>
      <c r="C32" s="7" t="s">
        <v>417</v>
      </c>
      <c r="D32" s="7" t="s">
        <v>149</v>
      </c>
      <c r="E32" s="7" t="s">
        <v>150</v>
      </c>
      <c r="F32" s="10">
        <v>8068.3900800000001</v>
      </c>
      <c r="G32" s="10">
        <v>4218.92976</v>
      </c>
      <c r="H32" s="10">
        <v>0</v>
      </c>
      <c r="I32" s="10">
        <v>0</v>
      </c>
      <c r="J32" s="11">
        <v>12287.31984</v>
      </c>
      <c r="K32" s="13">
        <v>-0.47710389332093373</v>
      </c>
      <c r="L32" s="13">
        <v>-1</v>
      </c>
      <c r="M32" s="7" t="s">
        <v>145</v>
      </c>
    </row>
    <row r="33" spans="1:13" x14ac:dyDescent="0.25">
      <c r="A33" t="s">
        <v>523</v>
      </c>
      <c r="B33" t="s">
        <v>145</v>
      </c>
      <c r="C33" t="s">
        <v>287</v>
      </c>
      <c r="D33" t="s">
        <v>526</v>
      </c>
      <c r="E33" t="s">
        <v>527</v>
      </c>
      <c r="F33" s="14">
        <v>8863488.5301099978</v>
      </c>
      <c r="G33" s="14">
        <v>6680272.2309900001</v>
      </c>
      <c r="H33" s="14">
        <v>2737709.4679399999</v>
      </c>
      <c r="I33" s="14">
        <v>407506.11914999998</v>
      </c>
      <c r="J33" s="15">
        <v>18688976.348189998</v>
      </c>
      <c r="K33" s="18">
        <v>-0.24631569067906309</v>
      </c>
      <c r="L33" s="18">
        <v>-0.59017995475698182</v>
      </c>
      <c r="M33" s="18">
        <v>-0.85115070685107075</v>
      </c>
    </row>
    <row r="34" spans="1:13" x14ac:dyDescent="0.25">
      <c r="A34" s="7" t="s">
        <v>530</v>
      </c>
      <c r="B34" s="7" t="s">
        <v>145</v>
      </c>
      <c r="C34" s="7" t="s">
        <v>145</v>
      </c>
      <c r="D34" s="7" t="s">
        <v>533</v>
      </c>
      <c r="E34" s="7" t="s">
        <v>150</v>
      </c>
      <c r="F34" s="10">
        <v>4447040.7182599986</v>
      </c>
      <c r="G34" s="10">
        <v>4876191.0231000008</v>
      </c>
      <c r="H34" s="10">
        <v>1029083.53911</v>
      </c>
      <c r="I34" s="10">
        <v>552701.64356</v>
      </c>
      <c r="J34" s="11">
        <v>10905016.92403</v>
      </c>
      <c r="K34" s="19">
        <v>9.6502445565174996E-2</v>
      </c>
      <c r="L34" s="13">
        <v>-0.78895750100131057</v>
      </c>
      <c r="M34" s="13">
        <v>-0.4629185847846693</v>
      </c>
    </row>
    <row r="35" spans="1:13" x14ac:dyDescent="0.25">
      <c r="A35" t="s">
        <v>536</v>
      </c>
      <c r="B35" t="s">
        <v>145</v>
      </c>
      <c r="C35" t="s">
        <v>287</v>
      </c>
      <c r="D35" t="s">
        <v>539</v>
      </c>
      <c r="E35" t="s">
        <v>150</v>
      </c>
      <c r="F35" s="14">
        <v>709262.98616999993</v>
      </c>
      <c r="G35" s="14">
        <v>695847.86283</v>
      </c>
      <c r="H35" s="14">
        <v>185185.98397999999</v>
      </c>
      <c r="I35" s="14">
        <v>0</v>
      </c>
      <c r="J35" s="15">
        <v>1590296.8329799999</v>
      </c>
      <c r="K35" s="17">
        <v>-1.8914173729044029E-2</v>
      </c>
      <c r="L35" s="18">
        <v>-0.7338700111446026</v>
      </c>
      <c r="M35" s="18">
        <v>-1</v>
      </c>
    </row>
    <row r="36" spans="1:13" x14ac:dyDescent="0.25">
      <c r="A36" s="7" t="s">
        <v>551</v>
      </c>
      <c r="B36" s="7" t="s">
        <v>145</v>
      </c>
      <c r="C36" s="7" t="s">
        <v>145</v>
      </c>
      <c r="D36" s="7" t="s">
        <v>402</v>
      </c>
      <c r="E36" s="7" t="s">
        <v>150</v>
      </c>
      <c r="F36" s="10">
        <v>5530.1242199999997</v>
      </c>
      <c r="G36" s="10">
        <v>0</v>
      </c>
      <c r="H36" s="10">
        <v>0</v>
      </c>
      <c r="I36" s="10">
        <v>0</v>
      </c>
      <c r="J36" s="11">
        <v>5530.1242199999997</v>
      </c>
      <c r="K36" s="13">
        <v>-1</v>
      </c>
      <c r="L36" s="7" t="s">
        <v>145</v>
      </c>
      <c r="M36" s="7" t="s">
        <v>145</v>
      </c>
    </row>
    <row r="37" spans="1:13" x14ac:dyDescent="0.25">
      <c r="A37" t="s">
        <v>556</v>
      </c>
      <c r="B37" t="s">
        <v>145</v>
      </c>
      <c r="C37" t="s">
        <v>145</v>
      </c>
      <c r="D37" t="s">
        <v>502</v>
      </c>
      <c r="E37" t="s">
        <v>150</v>
      </c>
      <c r="F37" s="14">
        <v>5530.1242199999997</v>
      </c>
      <c r="G37" s="14">
        <v>0</v>
      </c>
      <c r="H37" s="14">
        <v>0</v>
      </c>
      <c r="I37" s="14">
        <v>0</v>
      </c>
      <c r="J37" s="15">
        <v>5530.1242199999997</v>
      </c>
      <c r="K37" s="18">
        <v>-1</v>
      </c>
      <c r="L37" t="s">
        <v>145</v>
      </c>
      <c r="M37" t="s">
        <v>145</v>
      </c>
    </row>
    <row r="38" spans="1:13" x14ac:dyDescent="0.25">
      <c r="A38" s="7" t="s">
        <v>560</v>
      </c>
      <c r="B38" s="7" t="s">
        <v>145</v>
      </c>
      <c r="C38" s="7" t="s">
        <v>145</v>
      </c>
      <c r="D38" s="7" t="s">
        <v>502</v>
      </c>
      <c r="E38" s="7" t="s">
        <v>150</v>
      </c>
      <c r="F38" s="10">
        <v>0</v>
      </c>
      <c r="G38" s="10">
        <v>4190.3126400000001</v>
      </c>
      <c r="H38" s="10">
        <v>0</v>
      </c>
      <c r="I38" s="10">
        <v>0</v>
      </c>
      <c r="J38" s="11">
        <v>4190.3126400000001</v>
      </c>
      <c r="K38" s="12" t="s">
        <v>2479</v>
      </c>
      <c r="L38" s="13">
        <v>-1</v>
      </c>
      <c r="M38" s="7" t="s">
        <v>145</v>
      </c>
    </row>
    <row r="39" spans="1:13" x14ac:dyDescent="0.25">
      <c r="A39" t="s">
        <v>575</v>
      </c>
      <c r="B39" t="s">
        <v>145</v>
      </c>
      <c r="C39" t="s">
        <v>145</v>
      </c>
      <c r="D39" t="s">
        <v>578</v>
      </c>
      <c r="E39" t="s">
        <v>150</v>
      </c>
      <c r="F39" s="14">
        <v>4793.8662199999999</v>
      </c>
      <c r="G39" s="14">
        <v>0</v>
      </c>
      <c r="H39" s="14">
        <v>0</v>
      </c>
      <c r="I39" s="14">
        <v>0</v>
      </c>
      <c r="J39" s="15">
        <v>4793.8662199999999</v>
      </c>
      <c r="K39" s="18">
        <v>-1</v>
      </c>
      <c r="L39" t="s">
        <v>145</v>
      </c>
      <c r="M39" t="s">
        <v>145</v>
      </c>
    </row>
    <row r="40" spans="1:13" x14ac:dyDescent="0.25">
      <c r="A40" s="7" t="s">
        <v>584</v>
      </c>
      <c r="B40" s="7" t="s">
        <v>585</v>
      </c>
      <c r="C40" s="7" t="s">
        <v>145</v>
      </c>
      <c r="D40" s="7" t="s">
        <v>183</v>
      </c>
      <c r="E40" s="7" t="s">
        <v>150</v>
      </c>
      <c r="F40" s="10">
        <v>0</v>
      </c>
      <c r="G40" s="10">
        <v>0</v>
      </c>
      <c r="H40" s="10">
        <v>151605.18306000001</v>
      </c>
      <c r="I40" s="10">
        <v>0</v>
      </c>
      <c r="J40" s="11">
        <v>151605.18306000001</v>
      </c>
      <c r="K40" s="7" t="s">
        <v>145</v>
      </c>
      <c r="L40" s="12" t="s">
        <v>2479</v>
      </c>
      <c r="M40" s="13">
        <v>-1</v>
      </c>
    </row>
    <row r="41" spans="1:13" x14ac:dyDescent="0.25">
      <c r="A41" t="s">
        <v>590</v>
      </c>
      <c r="B41" t="s">
        <v>145</v>
      </c>
      <c r="C41" t="s">
        <v>304</v>
      </c>
      <c r="D41" t="s">
        <v>593</v>
      </c>
      <c r="E41" t="s">
        <v>150</v>
      </c>
      <c r="F41" s="14">
        <v>21704.37962</v>
      </c>
      <c r="G41" s="14">
        <v>0</v>
      </c>
      <c r="H41" s="14">
        <v>0</v>
      </c>
      <c r="I41" s="14">
        <v>0</v>
      </c>
      <c r="J41" s="15">
        <v>21704.37962</v>
      </c>
      <c r="K41" s="18">
        <v>-1</v>
      </c>
      <c r="L41" t="s">
        <v>145</v>
      </c>
      <c r="M41" t="s">
        <v>145</v>
      </c>
    </row>
    <row r="42" spans="1:13" x14ac:dyDescent="0.25">
      <c r="A42" s="7" t="s">
        <v>594</v>
      </c>
      <c r="B42" s="7" t="s">
        <v>595</v>
      </c>
      <c r="C42" s="7" t="s">
        <v>304</v>
      </c>
      <c r="D42" s="7" t="s">
        <v>598</v>
      </c>
      <c r="E42" s="7" t="s">
        <v>150</v>
      </c>
      <c r="F42" s="10">
        <v>34481.900509999999</v>
      </c>
      <c r="G42" s="10">
        <v>27123.746520000001</v>
      </c>
      <c r="H42" s="10">
        <v>20439.082689999999</v>
      </c>
      <c r="I42" s="10">
        <v>4221.1878900000002</v>
      </c>
      <c r="J42" s="11">
        <v>86265.917610000004</v>
      </c>
      <c r="K42" s="13">
        <v>-0.21339177600915821</v>
      </c>
      <c r="L42" s="13">
        <v>-0.246450608328425</v>
      </c>
      <c r="M42" s="13">
        <v>-0.79347468993482495</v>
      </c>
    </row>
    <row r="43" spans="1:13" x14ac:dyDescent="0.25">
      <c r="A43" t="s">
        <v>601</v>
      </c>
      <c r="B43" t="s">
        <v>595</v>
      </c>
      <c r="C43" t="s">
        <v>304</v>
      </c>
      <c r="D43" t="s">
        <v>603</v>
      </c>
      <c r="E43" t="s">
        <v>150</v>
      </c>
      <c r="F43" s="14">
        <v>47577.558420000008</v>
      </c>
      <c r="G43" s="14">
        <v>31161.360700000001</v>
      </c>
      <c r="H43" s="14">
        <v>25316.34935</v>
      </c>
      <c r="I43" s="14">
        <v>4290.3699699999997</v>
      </c>
      <c r="J43" s="15">
        <v>108345.63844</v>
      </c>
      <c r="K43" s="18">
        <v>-0.34504077689491508</v>
      </c>
      <c r="L43" s="18">
        <v>-0.18757240437193101</v>
      </c>
      <c r="M43" s="18">
        <v>-0.83052967429523961</v>
      </c>
    </row>
    <row r="44" spans="1:13" x14ac:dyDescent="0.25">
      <c r="A44" s="7" t="s">
        <v>638</v>
      </c>
      <c r="B44" s="7" t="s">
        <v>145</v>
      </c>
      <c r="C44" s="7" t="s">
        <v>639</v>
      </c>
      <c r="D44" s="7" t="s">
        <v>198</v>
      </c>
      <c r="E44" s="7" t="s">
        <v>150</v>
      </c>
      <c r="F44" s="10">
        <v>15612.76864</v>
      </c>
      <c r="G44" s="10">
        <v>5189.6844799999999</v>
      </c>
      <c r="H44" s="10">
        <v>5941.8159999999998</v>
      </c>
      <c r="I44" s="10">
        <v>0</v>
      </c>
      <c r="J44" s="11">
        <v>26744.269120000001</v>
      </c>
      <c r="K44" s="13">
        <v>-0.66759998821067523</v>
      </c>
      <c r="L44" s="19">
        <v>0.14492817875509839</v>
      </c>
      <c r="M44" s="13">
        <v>-1</v>
      </c>
    </row>
    <row r="45" spans="1:13" x14ac:dyDescent="0.25">
      <c r="A45" t="s">
        <v>651</v>
      </c>
      <c r="B45" t="s">
        <v>652</v>
      </c>
      <c r="C45" t="s">
        <v>304</v>
      </c>
      <c r="D45" t="s">
        <v>198</v>
      </c>
      <c r="E45" t="s">
        <v>150</v>
      </c>
      <c r="F45" s="14">
        <v>5276.7287999999999</v>
      </c>
      <c r="G45" s="14">
        <v>19091.411039999999</v>
      </c>
      <c r="H45" s="14">
        <v>19346.719260000002</v>
      </c>
      <c r="I45" s="14">
        <v>685.94029</v>
      </c>
      <c r="J45" s="15">
        <v>44400.79939</v>
      </c>
      <c r="K45" s="16">
        <v>2.618039085124102</v>
      </c>
      <c r="L45" s="17">
        <v>1.337293610540809E-2</v>
      </c>
      <c r="M45" s="18">
        <v>-0.96454487808596034</v>
      </c>
    </row>
    <row r="46" spans="1:13" x14ac:dyDescent="0.25">
      <c r="A46" s="7" t="s">
        <v>657</v>
      </c>
      <c r="B46" s="7" t="s">
        <v>652</v>
      </c>
      <c r="C46" s="7" t="s">
        <v>304</v>
      </c>
      <c r="D46" s="7" t="s">
        <v>198</v>
      </c>
      <c r="E46" s="7" t="s">
        <v>150</v>
      </c>
      <c r="F46" s="10">
        <v>11051.492399999999</v>
      </c>
      <c r="G46" s="10">
        <v>9248.31</v>
      </c>
      <c r="H46" s="10">
        <v>66001.597959999999</v>
      </c>
      <c r="I46" s="10">
        <v>12962.97752</v>
      </c>
      <c r="J46" s="11">
        <v>99264.37788</v>
      </c>
      <c r="K46" s="13">
        <v>-0.16316189114874649</v>
      </c>
      <c r="L46" s="19">
        <v>6.1366117658253243</v>
      </c>
      <c r="M46" s="13">
        <v>-0.80359600493527206</v>
      </c>
    </row>
    <row r="47" spans="1:13" x14ac:dyDescent="0.25">
      <c r="A47" t="s">
        <v>661</v>
      </c>
      <c r="B47" t="s">
        <v>652</v>
      </c>
      <c r="C47" t="s">
        <v>304</v>
      </c>
      <c r="D47" t="s">
        <v>198</v>
      </c>
      <c r="E47" t="s">
        <v>150</v>
      </c>
      <c r="F47" s="14">
        <v>6445.3319999999994</v>
      </c>
      <c r="G47" s="14">
        <v>3759.51</v>
      </c>
      <c r="H47" s="14">
        <v>18622.991859999998</v>
      </c>
      <c r="I47" s="14">
        <v>3576.5516499999999</v>
      </c>
      <c r="J47" s="15">
        <v>32404.38551</v>
      </c>
      <c r="K47" s="18">
        <v>-0.4167080919958816</v>
      </c>
      <c r="L47" s="16">
        <v>3.9535689119060731</v>
      </c>
      <c r="M47" s="18">
        <v>-0.80794967441928534</v>
      </c>
    </row>
    <row r="48" spans="1:13" x14ac:dyDescent="0.25">
      <c r="A48" s="7" t="s">
        <v>665</v>
      </c>
      <c r="B48" s="7" t="s">
        <v>652</v>
      </c>
      <c r="C48" s="7" t="s">
        <v>304</v>
      </c>
      <c r="D48" s="7" t="s">
        <v>667</v>
      </c>
      <c r="E48" s="7" t="s">
        <v>150</v>
      </c>
      <c r="F48" s="10">
        <v>27161.766</v>
      </c>
      <c r="G48" s="10">
        <v>39769.321550000001</v>
      </c>
      <c r="H48" s="10">
        <v>91065.12556</v>
      </c>
      <c r="I48" s="10">
        <v>27195.206549999999</v>
      </c>
      <c r="J48" s="11">
        <v>185191.41966000001</v>
      </c>
      <c r="K48" s="19">
        <v>0.46416553143120381</v>
      </c>
      <c r="L48" s="19">
        <v>1.2898335201798281</v>
      </c>
      <c r="M48" s="13">
        <v>-0.70136529892464794</v>
      </c>
    </row>
    <row r="49" spans="1:13" x14ac:dyDescent="0.25">
      <c r="A49" t="s">
        <v>670</v>
      </c>
      <c r="B49" t="s">
        <v>652</v>
      </c>
      <c r="C49" t="s">
        <v>304</v>
      </c>
      <c r="D49" t="s">
        <v>183</v>
      </c>
      <c r="E49" t="s">
        <v>150</v>
      </c>
      <c r="F49" s="14">
        <v>9823.8743999999988</v>
      </c>
      <c r="G49" s="14">
        <v>36685.291550000002</v>
      </c>
      <c r="H49" s="14">
        <v>75199.549540000007</v>
      </c>
      <c r="I49" s="14">
        <v>23852.754290000001</v>
      </c>
      <c r="J49" s="15">
        <v>145561.46978000001</v>
      </c>
      <c r="K49" s="16">
        <v>2.734299733107338</v>
      </c>
      <c r="L49" s="16">
        <v>1.049855578699906</v>
      </c>
      <c r="M49" s="18">
        <v>-0.68280721844866521</v>
      </c>
    </row>
    <row r="50" spans="1:13" x14ac:dyDescent="0.25">
      <c r="A50" s="7" t="s">
        <v>674</v>
      </c>
      <c r="B50" s="7" t="s">
        <v>652</v>
      </c>
      <c r="C50" s="7" t="s">
        <v>304</v>
      </c>
      <c r="D50" s="7" t="s">
        <v>615</v>
      </c>
      <c r="E50" s="7" t="s">
        <v>150</v>
      </c>
      <c r="F50" s="10">
        <v>12911.7708</v>
      </c>
      <c r="G50" s="10">
        <v>26428.774249999999</v>
      </c>
      <c r="H50" s="10">
        <v>64239.540700000012</v>
      </c>
      <c r="I50" s="10">
        <v>20530.551340000002</v>
      </c>
      <c r="J50" s="11">
        <v>124110.63709</v>
      </c>
      <c r="K50" s="19">
        <v>1.046874488354455</v>
      </c>
      <c r="L50" s="19">
        <v>1.430666670059433</v>
      </c>
      <c r="M50" s="13">
        <v>-0.68040631803583251</v>
      </c>
    </row>
    <row r="51" spans="1:13" x14ac:dyDescent="0.25">
      <c r="A51" t="s">
        <v>678</v>
      </c>
      <c r="B51" t="s">
        <v>652</v>
      </c>
      <c r="C51" t="s">
        <v>304</v>
      </c>
      <c r="D51" t="s">
        <v>198</v>
      </c>
      <c r="E51" t="s">
        <v>150</v>
      </c>
      <c r="F51" s="14">
        <v>10309.4028</v>
      </c>
      <c r="G51" s="14">
        <v>33533.217550000001</v>
      </c>
      <c r="H51" s="14">
        <v>68838.267089999994</v>
      </c>
      <c r="I51" s="14">
        <v>17650.491119999999</v>
      </c>
      <c r="J51" s="15">
        <v>130331.37856</v>
      </c>
      <c r="K51" s="16">
        <v>2.2526828372638619</v>
      </c>
      <c r="L51" s="16">
        <v>1.0528381145459149</v>
      </c>
      <c r="M51" s="18">
        <v>-0.74359477851289402</v>
      </c>
    </row>
    <row r="52" spans="1:13" x14ac:dyDescent="0.25">
      <c r="A52" s="7" t="s">
        <v>682</v>
      </c>
      <c r="B52" s="7" t="s">
        <v>652</v>
      </c>
      <c r="C52" s="7" t="s">
        <v>304</v>
      </c>
      <c r="D52" s="7" t="s">
        <v>615</v>
      </c>
      <c r="E52" s="7" t="s">
        <v>150</v>
      </c>
      <c r="F52" s="10">
        <v>3364.92</v>
      </c>
      <c r="G52" s="10">
        <v>2543.67</v>
      </c>
      <c r="H52" s="10">
        <v>90503.499359999987</v>
      </c>
      <c r="I52" s="10">
        <v>24301.51829</v>
      </c>
      <c r="J52" s="11">
        <v>120713.60765000001</v>
      </c>
      <c r="K52" s="13">
        <v>-0.24406226596769021</v>
      </c>
      <c r="L52" s="19">
        <v>34.579890221608927</v>
      </c>
      <c r="M52" s="13">
        <v>-0.73148531866889777</v>
      </c>
    </row>
    <row r="53" spans="1:13" x14ac:dyDescent="0.25">
      <c r="A53" t="s">
        <v>686</v>
      </c>
      <c r="B53" t="s">
        <v>652</v>
      </c>
      <c r="C53" t="s">
        <v>304</v>
      </c>
      <c r="D53" t="s">
        <v>183</v>
      </c>
      <c r="E53" t="s">
        <v>150</v>
      </c>
      <c r="F53" s="14">
        <v>18198.439200000001</v>
      </c>
      <c r="G53" s="14">
        <v>30932.761549999999</v>
      </c>
      <c r="H53" s="14">
        <v>105473.43538</v>
      </c>
      <c r="I53" s="14">
        <v>26049.732980000001</v>
      </c>
      <c r="J53" s="15">
        <v>180654.36911</v>
      </c>
      <c r="K53" s="16">
        <v>0.69974805037126475</v>
      </c>
      <c r="L53" s="16">
        <v>2.40976460215205</v>
      </c>
      <c r="M53" s="18">
        <v>-0.75302091103652824</v>
      </c>
    </row>
    <row r="54" spans="1:13" x14ac:dyDescent="0.25">
      <c r="A54" s="7" t="s">
        <v>690</v>
      </c>
      <c r="B54" s="7" t="s">
        <v>652</v>
      </c>
      <c r="C54" s="7" t="s">
        <v>304</v>
      </c>
      <c r="D54" s="7" t="s">
        <v>198</v>
      </c>
      <c r="E54" s="7" t="s">
        <v>150</v>
      </c>
      <c r="F54" s="10">
        <v>17746.419600000001</v>
      </c>
      <c r="G54" s="10">
        <v>33681.075230000002</v>
      </c>
      <c r="H54" s="10">
        <v>96724.884090000021</v>
      </c>
      <c r="I54" s="10">
        <v>20709.61506</v>
      </c>
      <c r="J54" s="11">
        <v>168861.99398</v>
      </c>
      <c r="K54" s="19">
        <v>0.89790819721179183</v>
      </c>
      <c r="L54" s="19">
        <v>1.8717872998260581</v>
      </c>
      <c r="M54" s="13">
        <v>-0.7858915494721066</v>
      </c>
    </row>
    <row r="55" spans="1:13" x14ac:dyDescent="0.25">
      <c r="A55" t="s">
        <v>694</v>
      </c>
      <c r="B55" t="s">
        <v>652</v>
      </c>
      <c r="C55" t="s">
        <v>304</v>
      </c>
      <c r="D55" t="s">
        <v>502</v>
      </c>
      <c r="E55" t="s">
        <v>150</v>
      </c>
      <c r="F55" s="14">
        <v>13411.4292</v>
      </c>
      <c r="G55" s="14">
        <v>29479.962950000001</v>
      </c>
      <c r="H55" s="14">
        <v>87495.59994</v>
      </c>
      <c r="I55" s="14">
        <v>15484.632600000001</v>
      </c>
      <c r="J55" s="15">
        <v>145871.62469</v>
      </c>
      <c r="K55" s="16">
        <v>1.19812240070581</v>
      </c>
      <c r="L55" s="16">
        <v>1.9679684499060739</v>
      </c>
      <c r="M55" s="18">
        <v>-0.82302387079329054</v>
      </c>
    </row>
    <row r="56" spans="1:13" x14ac:dyDescent="0.25">
      <c r="A56" s="7" t="s">
        <v>698</v>
      </c>
      <c r="B56" s="7" t="s">
        <v>652</v>
      </c>
      <c r="C56" s="7" t="s">
        <v>304</v>
      </c>
      <c r="D56" s="7" t="s">
        <v>198</v>
      </c>
      <c r="E56" s="7" t="s">
        <v>150</v>
      </c>
      <c r="F56" s="10">
        <v>10142.452799999999</v>
      </c>
      <c r="G56" s="10">
        <v>46194.331550000003</v>
      </c>
      <c r="H56" s="10">
        <v>69460.030920000005</v>
      </c>
      <c r="I56" s="10">
        <v>25238.403320000001</v>
      </c>
      <c r="J56" s="11">
        <v>151035.21859</v>
      </c>
      <c r="K56" s="19">
        <v>3.5545522824616951</v>
      </c>
      <c r="L56" s="19">
        <v>0.50364836094267507</v>
      </c>
      <c r="M56" s="13">
        <v>-0.63664854469949617</v>
      </c>
    </row>
    <row r="57" spans="1:13" x14ac:dyDescent="0.25">
      <c r="A57" t="s">
        <v>702</v>
      </c>
      <c r="B57" t="s">
        <v>652</v>
      </c>
      <c r="C57" t="s">
        <v>304</v>
      </c>
      <c r="D57" t="s">
        <v>704</v>
      </c>
      <c r="E57" t="s">
        <v>150</v>
      </c>
      <c r="F57" s="14">
        <v>13603.3776</v>
      </c>
      <c r="G57" s="14">
        <v>43973.551549999996</v>
      </c>
      <c r="H57" s="14">
        <v>127389.79966</v>
      </c>
      <c r="I57" s="14">
        <v>24117.796399999999</v>
      </c>
      <c r="J57" s="15">
        <v>209084.52520999999</v>
      </c>
      <c r="K57" s="16">
        <v>2.2325465662292578</v>
      </c>
      <c r="L57" s="16">
        <v>1.8969640879507259</v>
      </c>
      <c r="M57" s="18">
        <v>-0.81067717773032244</v>
      </c>
    </row>
    <row r="58" spans="1:13" x14ac:dyDescent="0.25">
      <c r="A58" s="7" t="s">
        <v>707</v>
      </c>
      <c r="B58" s="7" t="s">
        <v>652</v>
      </c>
      <c r="C58" s="7" t="s">
        <v>304</v>
      </c>
      <c r="D58" s="7" t="s">
        <v>198</v>
      </c>
      <c r="E58" s="7" t="s">
        <v>150</v>
      </c>
      <c r="F58" s="10">
        <v>0</v>
      </c>
      <c r="G58" s="10">
        <v>0</v>
      </c>
      <c r="H58" s="10">
        <v>0</v>
      </c>
      <c r="I58" s="10">
        <v>74702.863200000007</v>
      </c>
      <c r="J58" s="11">
        <v>74702.863200000007</v>
      </c>
      <c r="K58" s="7" t="s">
        <v>145</v>
      </c>
      <c r="L58" s="7" t="s">
        <v>145</v>
      </c>
      <c r="M58" s="12" t="s">
        <v>2479</v>
      </c>
    </row>
    <row r="59" spans="1:13" x14ac:dyDescent="0.25">
      <c r="A59" t="s">
        <v>711</v>
      </c>
      <c r="B59" t="s">
        <v>652</v>
      </c>
      <c r="C59" t="s">
        <v>304</v>
      </c>
      <c r="D59" t="s">
        <v>183</v>
      </c>
      <c r="E59" t="s">
        <v>150</v>
      </c>
      <c r="F59" s="14">
        <v>13736.1384</v>
      </c>
      <c r="G59" s="14">
        <v>21111.92872</v>
      </c>
      <c r="H59" s="14">
        <v>81937.460819999993</v>
      </c>
      <c r="I59" s="14">
        <v>7363.4222600000003</v>
      </c>
      <c r="J59" s="15">
        <v>124148.95020000001</v>
      </c>
      <c r="K59" s="16">
        <v>0.5369624347989973</v>
      </c>
      <c r="L59" s="16">
        <v>2.8810978336800672</v>
      </c>
      <c r="M59" s="18">
        <v>-0.91013362891271488</v>
      </c>
    </row>
    <row r="60" spans="1:13" x14ac:dyDescent="0.25">
      <c r="A60" s="7" t="s">
        <v>714</v>
      </c>
      <c r="B60" s="7" t="s">
        <v>652</v>
      </c>
      <c r="C60" s="7" t="s">
        <v>304</v>
      </c>
      <c r="D60" s="7" t="s">
        <v>198</v>
      </c>
      <c r="E60" s="7" t="s">
        <v>150</v>
      </c>
      <c r="F60" s="10">
        <v>10027.638000000001</v>
      </c>
      <c r="G60" s="10">
        <v>27354.195830000001</v>
      </c>
      <c r="H60" s="10">
        <v>42834.007080000003</v>
      </c>
      <c r="I60" s="10">
        <v>13740.865659999999</v>
      </c>
      <c r="J60" s="11">
        <v>93956.706569999995</v>
      </c>
      <c r="K60" s="19">
        <v>1.727880267516638</v>
      </c>
      <c r="L60" s="19">
        <v>0.56590262591536022</v>
      </c>
      <c r="M60" s="13">
        <v>-0.6792066258396855</v>
      </c>
    </row>
    <row r="61" spans="1:13" x14ac:dyDescent="0.25">
      <c r="A61" t="s">
        <v>718</v>
      </c>
      <c r="B61" t="s">
        <v>652</v>
      </c>
      <c r="C61" t="s">
        <v>304</v>
      </c>
      <c r="D61" t="s">
        <v>704</v>
      </c>
      <c r="E61" t="s">
        <v>150</v>
      </c>
      <c r="F61" s="14">
        <v>14346.777599999999</v>
      </c>
      <c r="G61" s="14">
        <v>7375.23</v>
      </c>
      <c r="H61" s="14">
        <v>86890.393790000002</v>
      </c>
      <c r="I61" s="14">
        <v>10521.429239999999</v>
      </c>
      <c r="J61" s="15">
        <v>119133.83063</v>
      </c>
      <c r="K61" s="18">
        <v>-0.48593125190704839</v>
      </c>
      <c r="L61" s="16">
        <v>10.78138089117221</v>
      </c>
      <c r="M61" s="18">
        <v>-0.87891147938138492</v>
      </c>
    </row>
    <row r="62" spans="1:13" x14ac:dyDescent="0.25">
      <c r="A62" s="7" t="s">
        <v>722</v>
      </c>
      <c r="B62" s="7" t="s">
        <v>652</v>
      </c>
      <c r="C62" s="7" t="s">
        <v>304</v>
      </c>
      <c r="D62" s="7" t="s">
        <v>198</v>
      </c>
      <c r="E62" s="7" t="s">
        <v>150</v>
      </c>
      <c r="F62" s="10">
        <v>4665.4488000000001</v>
      </c>
      <c r="G62" s="10">
        <v>3279.57</v>
      </c>
      <c r="H62" s="10">
        <v>10785.04571</v>
      </c>
      <c r="I62" s="10">
        <v>0</v>
      </c>
      <c r="J62" s="11">
        <v>18730.06451</v>
      </c>
      <c r="K62" s="13">
        <v>-0.29705155053893212</v>
      </c>
      <c r="L62" s="19">
        <v>2.2885548135883669</v>
      </c>
      <c r="M62" s="13">
        <v>-1</v>
      </c>
    </row>
    <row r="63" spans="1:13" x14ac:dyDescent="0.25">
      <c r="A63" t="s">
        <v>726</v>
      </c>
      <c r="B63" t="s">
        <v>652</v>
      </c>
      <c r="C63" t="s">
        <v>304</v>
      </c>
      <c r="D63" t="s">
        <v>198</v>
      </c>
      <c r="E63" t="s">
        <v>150</v>
      </c>
      <c r="F63" s="14">
        <v>25256.660400000001</v>
      </c>
      <c r="G63" s="14">
        <v>10512</v>
      </c>
      <c r="H63" s="14">
        <v>91170.564950000015</v>
      </c>
      <c r="I63" s="14">
        <v>22927.493119999999</v>
      </c>
      <c r="J63" s="15">
        <v>149866.71846999999</v>
      </c>
      <c r="K63" s="18">
        <v>-0.58379295466949388</v>
      </c>
      <c r="L63" s="16">
        <v>7.6729989488203971</v>
      </c>
      <c r="M63" s="18">
        <v>-0.74852088354861079</v>
      </c>
    </row>
    <row r="64" spans="1:13" x14ac:dyDescent="0.25">
      <c r="A64" s="7" t="s">
        <v>730</v>
      </c>
      <c r="B64" s="7" t="s">
        <v>652</v>
      </c>
      <c r="C64" s="7" t="s">
        <v>304</v>
      </c>
      <c r="D64" s="7" t="s">
        <v>502</v>
      </c>
      <c r="E64" s="7" t="s">
        <v>150</v>
      </c>
      <c r="F64" s="10">
        <v>8420.4827999999998</v>
      </c>
      <c r="G64" s="10">
        <v>19695.731230000001</v>
      </c>
      <c r="H64" s="10">
        <v>46560.131249999999</v>
      </c>
      <c r="I64" s="10">
        <v>6816.5034099999993</v>
      </c>
      <c r="J64" s="11">
        <v>81492.848689999999</v>
      </c>
      <c r="K64" s="19">
        <v>1.33902635962869</v>
      </c>
      <c r="L64" s="19">
        <v>1.36397068513409</v>
      </c>
      <c r="M64" s="13">
        <v>-0.85359784805159888</v>
      </c>
    </row>
    <row r="65" spans="1:13" x14ac:dyDescent="0.25">
      <c r="A65" t="s">
        <v>734</v>
      </c>
      <c r="B65" t="s">
        <v>652</v>
      </c>
      <c r="C65" t="s">
        <v>304</v>
      </c>
      <c r="D65" t="s">
        <v>221</v>
      </c>
      <c r="E65" t="s">
        <v>150</v>
      </c>
      <c r="F65" s="14">
        <v>0</v>
      </c>
      <c r="G65" s="14">
        <v>499129.93805</v>
      </c>
      <c r="H65" s="14">
        <v>291004.87680000003</v>
      </c>
      <c r="I65" s="14">
        <v>0</v>
      </c>
      <c r="J65" s="15">
        <v>790134.81484999997</v>
      </c>
      <c r="K65" s="21" t="s">
        <v>2479</v>
      </c>
      <c r="L65" s="18">
        <v>-0.41697571190200022</v>
      </c>
      <c r="M65" s="18">
        <v>-1</v>
      </c>
    </row>
    <row r="66" spans="1:13" x14ac:dyDescent="0.25">
      <c r="A66" s="7" t="s">
        <v>738</v>
      </c>
      <c r="B66" s="7" t="s">
        <v>652</v>
      </c>
      <c r="C66" s="7" t="s">
        <v>304</v>
      </c>
      <c r="D66" s="7" t="s">
        <v>149</v>
      </c>
      <c r="E66" s="7" t="s">
        <v>150</v>
      </c>
      <c r="F66" s="10">
        <v>29533.031999999999</v>
      </c>
      <c r="G66" s="10">
        <v>41764.171549999999</v>
      </c>
      <c r="H66" s="10">
        <v>63287.889539999989</v>
      </c>
      <c r="I66" s="10">
        <v>18816.404740000002</v>
      </c>
      <c r="J66" s="11">
        <v>153401.49783000001</v>
      </c>
      <c r="K66" s="19">
        <v>0.41415116300960902</v>
      </c>
      <c r="L66" s="19">
        <v>0.51536322142130442</v>
      </c>
      <c r="M66" s="13">
        <v>-0.70268553941734113</v>
      </c>
    </row>
    <row r="67" spans="1:13" x14ac:dyDescent="0.25">
      <c r="A67" t="s">
        <v>753</v>
      </c>
      <c r="B67" t="s">
        <v>145</v>
      </c>
      <c r="C67" t="s">
        <v>145</v>
      </c>
      <c r="D67" t="s">
        <v>755</v>
      </c>
      <c r="E67" t="s">
        <v>150</v>
      </c>
      <c r="F67" s="14">
        <v>0</v>
      </c>
      <c r="G67" s="14">
        <v>0</v>
      </c>
      <c r="H67" s="14">
        <v>0</v>
      </c>
      <c r="I67" s="14">
        <v>8863.3250599999992</v>
      </c>
      <c r="J67" s="15">
        <v>8863.3250599999992</v>
      </c>
      <c r="K67" t="s">
        <v>145</v>
      </c>
      <c r="L67" t="s">
        <v>145</v>
      </c>
      <c r="M67" s="21" t="s">
        <v>2479</v>
      </c>
    </row>
    <row r="68" spans="1:13" x14ac:dyDescent="0.25">
      <c r="A68" s="7" t="s">
        <v>756</v>
      </c>
      <c r="B68" s="7" t="s">
        <v>145</v>
      </c>
      <c r="C68" s="7" t="s">
        <v>639</v>
      </c>
      <c r="D68" s="7" t="s">
        <v>149</v>
      </c>
      <c r="E68" s="7" t="s">
        <v>150</v>
      </c>
      <c r="F68" s="10">
        <v>5385.1604399999997</v>
      </c>
      <c r="G68" s="10">
        <v>0</v>
      </c>
      <c r="H68" s="10">
        <v>0</v>
      </c>
      <c r="I68" s="10">
        <v>0</v>
      </c>
      <c r="J68" s="11">
        <v>5385.1604399999997</v>
      </c>
      <c r="K68" s="13">
        <v>-1</v>
      </c>
      <c r="L68" s="7" t="s">
        <v>145</v>
      </c>
      <c r="M68" s="7" t="s">
        <v>145</v>
      </c>
    </row>
    <row r="69" spans="1:13" x14ac:dyDescent="0.25">
      <c r="A69" t="s">
        <v>767</v>
      </c>
      <c r="B69" t="s">
        <v>768</v>
      </c>
      <c r="C69" t="s">
        <v>145</v>
      </c>
      <c r="D69" t="s">
        <v>183</v>
      </c>
      <c r="E69" t="s">
        <v>150</v>
      </c>
      <c r="F69" s="14">
        <v>0</v>
      </c>
      <c r="G69" s="14">
        <v>74195.544550000006</v>
      </c>
      <c r="H69" s="14">
        <v>51568.292220000003</v>
      </c>
      <c r="I69" s="14">
        <v>11689.382079999999</v>
      </c>
      <c r="J69" s="15">
        <v>137453.21885</v>
      </c>
      <c r="K69" s="21" t="s">
        <v>2479</v>
      </c>
      <c r="L69" s="18">
        <v>-0.30496780456610317</v>
      </c>
      <c r="M69" s="18">
        <v>-0.77332229599283797</v>
      </c>
    </row>
    <row r="70" spans="1:13" x14ac:dyDescent="0.25">
      <c r="A70" s="7" t="s">
        <v>773</v>
      </c>
      <c r="B70" s="7" t="s">
        <v>768</v>
      </c>
      <c r="C70" s="7" t="s">
        <v>304</v>
      </c>
      <c r="D70" s="7" t="s">
        <v>159</v>
      </c>
      <c r="E70" s="7" t="s">
        <v>150</v>
      </c>
      <c r="F70" s="10">
        <v>23004.372029999999</v>
      </c>
      <c r="G70" s="10">
        <v>23981.2588</v>
      </c>
      <c r="H70" s="10">
        <v>65154.514809999993</v>
      </c>
      <c r="I70" s="10">
        <v>10408.281300000001</v>
      </c>
      <c r="J70" s="11">
        <v>122548.42694</v>
      </c>
      <c r="K70" s="20">
        <v>4.2465265677586822E-2</v>
      </c>
      <c r="L70" s="19">
        <v>1.7168930268998219</v>
      </c>
      <c r="M70" s="13">
        <v>-0.84025233968279778</v>
      </c>
    </row>
    <row r="71" spans="1:13" x14ac:dyDescent="0.25">
      <c r="A71" t="s">
        <v>776</v>
      </c>
      <c r="B71" t="s">
        <v>768</v>
      </c>
      <c r="C71" t="s">
        <v>145</v>
      </c>
      <c r="D71" t="s">
        <v>778</v>
      </c>
      <c r="E71" t="s">
        <v>150</v>
      </c>
      <c r="F71" s="14">
        <v>0</v>
      </c>
      <c r="G71" s="14">
        <v>1714.74</v>
      </c>
      <c r="H71" s="14">
        <v>8513.2178199999998</v>
      </c>
      <c r="I71" s="14">
        <v>0</v>
      </c>
      <c r="J71" s="15">
        <v>10227.95782</v>
      </c>
      <c r="K71" s="21" t="s">
        <v>2479</v>
      </c>
      <c r="L71" s="16">
        <v>3.9647280753933538</v>
      </c>
      <c r="M71" s="18">
        <v>-1</v>
      </c>
    </row>
    <row r="72" spans="1:13" x14ac:dyDescent="0.25">
      <c r="A72" s="7" t="s">
        <v>779</v>
      </c>
      <c r="B72" s="7" t="s">
        <v>768</v>
      </c>
      <c r="C72" s="7" t="s">
        <v>145</v>
      </c>
      <c r="D72" s="7" t="s">
        <v>183</v>
      </c>
      <c r="E72" s="7" t="s">
        <v>150</v>
      </c>
      <c r="F72" s="10">
        <v>3825.6552000000001</v>
      </c>
      <c r="G72" s="10">
        <v>3487.41</v>
      </c>
      <c r="H72" s="10">
        <v>8580.4887700000018</v>
      </c>
      <c r="I72" s="10">
        <v>2051.8489599999998</v>
      </c>
      <c r="J72" s="11">
        <v>17945.40293</v>
      </c>
      <c r="K72" s="13">
        <v>-8.8414972682326495E-2</v>
      </c>
      <c r="L72" s="19">
        <v>1.4604186975434501</v>
      </c>
      <c r="M72" s="13">
        <v>-0.76087038687424347</v>
      </c>
    </row>
    <row r="73" spans="1:13" x14ac:dyDescent="0.25">
      <c r="A73" t="s">
        <v>781</v>
      </c>
      <c r="B73" t="s">
        <v>768</v>
      </c>
      <c r="C73" t="s">
        <v>304</v>
      </c>
      <c r="D73" t="s">
        <v>183</v>
      </c>
      <c r="E73" t="s">
        <v>150</v>
      </c>
      <c r="F73" s="14">
        <v>3213.1362199999999</v>
      </c>
      <c r="G73" s="14">
        <v>8946.7003699999987</v>
      </c>
      <c r="H73" s="14">
        <v>28875.347239999999</v>
      </c>
      <c r="I73" s="14">
        <v>2806.3103999999998</v>
      </c>
      <c r="J73" s="15">
        <v>43841.494229999997</v>
      </c>
      <c r="K73" s="16">
        <v>1.7844136561381141</v>
      </c>
      <c r="L73" s="16">
        <v>2.2274856702281629</v>
      </c>
      <c r="M73" s="18">
        <v>-0.90281292977448546</v>
      </c>
    </row>
    <row r="74" spans="1:13" x14ac:dyDescent="0.25">
      <c r="A74" s="7" t="s">
        <v>783</v>
      </c>
      <c r="B74" s="7" t="s">
        <v>768</v>
      </c>
      <c r="C74" s="7" t="s">
        <v>304</v>
      </c>
      <c r="D74" s="7" t="s">
        <v>785</v>
      </c>
      <c r="E74" s="7" t="s">
        <v>150</v>
      </c>
      <c r="F74" s="10">
        <v>17088.210930000001</v>
      </c>
      <c r="G74" s="10">
        <v>27757.77778</v>
      </c>
      <c r="H74" s="10">
        <v>48109.36404</v>
      </c>
      <c r="I74" s="10">
        <v>9988.0320599999995</v>
      </c>
      <c r="J74" s="11">
        <v>102943.38481</v>
      </c>
      <c r="K74" s="19">
        <v>0.62438173859783919</v>
      </c>
      <c r="L74" s="19">
        <v>0.73318499850026542</v>
      </c>
      <c r="M74" s="13">
        <v>-0.79238902323265881</v>
      </c>
    </row>
    <row r="75" spans="1:13" x14ac:dyDescent="0.25">
      <c r="A75" t="s">
        <v>788</v>
      </c>
      <c r="B75" t="s">
        <v>768</v>
      </c>
      <c r="C75" t="s">
        <v>304</v>
      </c>
      <c r="D75" t="s">
        <v>183</v>
      </c>
      <c r="E75" t="s">
        <v>150</v>
      </c>
      <c r="F75" s="14">
        <v>38648.922899999998</v>
      </c>
      <c r="G75" s="14">
        <v>30098.740119999999</v>
      </c>
      <c r="H75" s="14">
        <v>74288.401020000005</v>
      </c>
      <c r="I75" s="14">
        <v>12527.125400000001</v>
      </c>
      <c r="J75" s="15">
        <v>155563.18943999999</v>
      </c>
      <c r="K75" s="18">
        <v>-0.22122693566707391</v>
      </c>
      <c r="L75" s="16">
        <v>1.468156498372398</v>
      </c>
      <c r="M75" s="18">
        <v>-0.83137171849172742</v>
      </c>
    </row>
    <row r="76" spans="1:13" x14ac:dyDescent="0.25">
      <c r="A76" s="7" t="s">
        <v>791</v>
      </c>
      <c r="B76" s="7" t="s">
        <v>768</v>
      </c>
      <c r="C76" s="7" t="s">
        <v>304</v>
      </c>
      <c r="D76" s="7" t="s">
        <v>183</v>
      </c>
      <c r="E76" s="7" t="s">
        <v>150</v>
      </c>
      <c r="F76" s="10">
        <v>10548.366889999999</v>
      </c>
      <c r="G76" s="10">
        <v>16953.08901</v>
      </c>
      <c r="H76" s="10">
        <v>39757.055119999997</v>
      </c>
      <c r="I76" s="10">
        <v>9686.4035999999996</v>
      </c>
      <c r="J76" s="11">
        <v>76944.91462000001</v>
      </c>
      <c r="K76" s="19">
        <v>0.60717665462241088</v>
      </c>
      <c r="L76" s="19">
        <v>1.3451215938610821</v>
      </c>
      <c r="M76" s="13">
        <v>-0.75636013354703424</v>
      </c>
    </row>
    <row r="77" spans="1:13" x14ac:dyDescent="0.25">
      <c r="A77" t="s">
        <v>794</v>
      </c>
      <c r="B77" t="s">
        <v>768</v>
      </c>
      <c r="C77" t="s">
        <v>304</v>
      </c>
      <c r="D77" t="s">
        <v>183</v>
      </c>
      <c r="E77" t="s">
        <v>150</v>
      </c>
      <c r="F77" s="14">
        <v>0</v>
      </c>
      <c r="G77" s="14">
        <v>0</v>
      </c>
      <c r="H77" s="14">
        <v>2065.52</v>
      </c>
      <c r="I77" s="14">
        <v>1549.83</v>
      </c>
      <c r="J77" s="15">
        <v>3615.35</v>
      </c>
      <c r="K77" t="s">
        <v>145</v>
      </c>
      <c r="L77" s="21" t="s">
        <v>2479</v>
      </c>
      <c r="M77" s="18">
        <v>-0.24966594368488329</v>
      </c>
    </row>
    <row r="78" spans="1:13" x14ac:dyDescent="0.25">
      <c r="A78" s="7" t="s">
        <v>801</v>
      </c>
      <c r="B78" s="7" t="s">
        <v>768</v>
      </c>
      <c r="C78" s="7" t="s">
        <v>304</v>
      </c>
      <c r="D78" s="7" t="s">
        <v>183</v>
      </c>
      <c r="E78" s="7" t="s">
        <v>150</v>
      </c>
      <c r="F78" s="10">
        <v>799.20588999999995</v>
      </c>
      <c r="G78" s="10">
        <v>3330.6230599999999</v>
      </c>
      <c r="H78" s="10">
        <v>11629.72566</v>
      </c>
      <c r="I78" s="10">
        <v>2181.77376</v>
      </c>
      <c r="J78" s="11">
        <v>17941.328369999999</v>
      </c>
      <c r="K78" s="19">
        <v>3.1674155579609158</v>
      </c>
      <c r="L78" s="19">
        <v>2.4917567825883</v>
      </c>
      <c r="M78" s="13">
        <v>-0.81239679904882645</v>
      </c>
    </row>
    <row r="79" spans="1:13" x14ac:dyDescent="0.25">
      <c r="A79" t="s">
        <v>808</v>
      </c>
      <c r="B79" t="s">
        <v>809</v>
      </c>
      <c r="C79" t="s">
        <v>145</v>
      </c>
      <c r="D79" t="s">
        <v>812</v>
      </c>
      <c r="E79" t="s">
        <v>150</v>
      </c>
      <c r="F79" s="14">
        <v>0</v>
      </c>
      <c r="G79" s="14">
        <v>0</v>
      </c>
      <c r="H79" s="14">
        <v>11119.266960000001</v>
      </c>
      <c r="I79" s="14">
        <v>9002.0692799999979</v>
      </c>
      <c r="J79" s="15">
        <v>20121.336240000001</v>
      </c>
      <c r="K79" t="s">
        <v>145</v>
      </c>
      <c r="L79" s="21" t="s">
        <v>2479</v>
      </c>
      <c r="M79" s="18">
        <v>-0.190408026681644</v>
      </c>
    </row>
    <row r="80" spans="1:13" x14ac:dyDescent="0.25">
      <c r="A80" s="7" t="s">
        <v>815</v>
      </c>
      <c r="B80" s="7" t="s">
        <v>809</v>
      </c>
      <c r="C80" s="7" t="s">
        <v>145</v>
      </c>
      <c r="D80" s="7" t="s">
        <v>817</v>
      </c>
      <c r="E80" s="7" t="s">
        <v>150</v>
      </c>
      <c r="F80" s="10">
        <v>0</v>
      </c>
      <c r="G80" s="10">
        <v>0</v>
      </c>
      <c r="H80" s="10">
        <v>13536.0684</v>
      </c>
      <c r="I80" s="10">
        <v>14567.273520000001</v>
      </c>
      <c r="J80" s="11">
        <v>28103.341919999999</v>
      </c>
      <c r="K80" s="7" t="s">
        <v>145</v>
      </c>
      <c r="L80" s="12" t="s">
        <v>2479</v>
      </c>
      <c r="M80" s="19">
        <v>7.6182026385150259E-2</v>
      </c>
    </row>
    <row r="81" spans="1:13" x14ac:dyDescent="0.25">
      <c r="A81" t="s">
        <v>818</v>
      </c>
      <c r="B81" t="s">
        <v>809</v>
      </c>
      <c r="C81" t="s">
        <v>145</v>
      </c>
      <c r="D81" t="s">
        <v>820</v>
      </c>
      <c r="E81" t="s">
        <v>150</v>
      </c>
      <c r="F81" s="14">
        <v>0</v>
      </c>
      <c r="G81" s="14">
        <v>0</v>
      </c>
      <c r="H81" s="14">
        <v>5282.7854399999997</v>
      </c>
      <c r="I81" s="14">
        <v>1940.5190399999999</v>
      </c>
      <c r="J81" s="15">
        <v>7223.3044799999998</v>
      </c>
      <c r="K81" t="s">
        <v>145</v>
      </c>
      <c r="L81" s="21" t="s">
        <v>2479</v>
      </c>
      <c r="M81" s="18">
        <v>-0.63267123716461215</v>
      </c>
    </row>
    <row r="82" spans="1:13" x14ac:dyDescent="0.25">
      <c r="A82" s="7" t="s">
        <v>821</v>
      </c>
      <c r="B82" s="7" t="s">
        <v>809</v>
      </c>
      <c r="C82" s="7" t="s">
        <v>145</v>
      </c>
      <c r="D82" s="7" t="s">
        <v>823</v>
      </c>
      <c r="E82" s="7" t="s">
        <v>150</v>
      </c>
      <c r="F82" s="10">
        <v>0</v>
      </c>
      <c r="G82" s="10">
        <v>0</v>
      </c>
      <c r="H82" s="10">
        <v>9006.3172799999993</v>
      </c>
      <c r="I82" s="10">
        <v>11677.847040000001</v>
      </c>
      <c r="J82" s="11">
        <v>20684.16432</v>
      </c>
      <c r="K82" s="7" t="s">
        <v>145</v>
      </c>
      <c r="L82" s="12" t="s">
        <v>2479</v>
      </c>
      <c r="M82" s="19">
        <v>0.29662843057201299</v>
      </c>
    </row>
    <row r="83" spans="1:13" x14ac:dyDescent="0.25">
      <c r="A83" t="s">
        <v>824</v>
      </c>
      <c r="B83" t="s">
        <v>809</v>
      </c>
      <c r="C83" t="s">
        <v>145</v>
      </c>
      <c r="D83" t="s">
        <v>826</v>
      </c>
      <c r="E83" t="s">
        <v>150</v>
      </c>
      <c r="F83" s="14">
        <v>0</v>
      </c>
      <c r="G83" s="14">
        <v>0</v>
      </c>
      <c r="H83" s="14">
        <v>7148.0827200000003</v>
      </c>
      <c r="I83" s="14">
        <v>9050.1141599999992</v>
      </c>
      <c r="J83" s="15">
        <v>16198.19688</v>
      </c>
      <c r="K83" t="s">
        <v>145</v>
      </c>
      <c r="L83" s="21" t="s">
        <v>2479</v>
      </c>
      <c r="M83" s="16">
        <v>0.26608973545846132</v>
      </c>
    </row>
    <row r="84" spans="1:13" x14ac:dyDescent="0.25">
      <c r="A84" s="7" t="s">
        <v>827</v>
      </c>
      <c r="B84" s="7" t="s">
        <v>809</v>
      </c>
      <c r="C84" s="7" t="s">
        <v>145</v>
      </c>
      <c r="D84" s="7" t="s">
        <v>829</v>
      </c>
      <c r="E84" s="7" t="s">
        <v>150</v>
      </c>
      <c r="F84" s="10">
        <v>0</v>
      </c>
      <c r="G84" s="10">
        <v>0</v>
      </c>
      <c r="H84" s="10">
        <v>9003.8637600000002</v>
      </c>
      <c r="I84" s="10">
        <v>13686.399359999999</v>
      </c>
      <c r="J84" s="11">
        <v>22690.26312</v>
      </c>
      <c r="K84" s="7" t="s">
        <v>145</v>
      </c>
      <c r="L84" s="12" t="s">
        <v>2479</v>
      </c>
      <c r="M84" s="19">
        <v>0.52005846876563544</v>
      </c>
    </row>
    <row r="85" spans="1:13" x14ac:dyDescent="0.25">
      <c r="A85" t="s">
        <v>830</v>
      </c>
      <c r="B85" t="s">
        <v>809</v>
      </c>
      <c r="C85" t="s">
        <v>145</v>
      </c>
      <c r="D85" t="s">
        <v>826</v>
      </c>
      <c r="E85" t="s">
        <v>150</v>
      </c>
      <c r="F85" s="14">
        <v>0</v>
      </c>
      <c r="G85" s="14">
        <v>0</v>
      </c>
      <c r="H85" s="14">
        <v>5575.4313599999996</v>
      </c>
      <c r="I85" s="14">
        <v>10106.46552</v>
      </c>
      <c r="J85" s="15">
        <v>15681.89688</v>
      </c>
      <c r="K85" t="s">
        <v>145</v>
      </c>
      <c r="L85" s="21" t="s">
        <v>2479</v>
      </c>
      <c r="M85" s="16">
        <v>0.81267867317085918</v>
      </c>
    </row>
    <row r="86" spans="1:13" x14ac:dyDescent="0.25">
      <c r="A86" s="7" t="s">
        <v>832</v>
      </c>
      <c r="B86" s="7" t="s">
        <v>809</v>
      </c>
      <c r="C86" s="7" t="s">
        <v>145</v>
      </c>
      <c r="D86" s="7" t="s">
        <v>834</v>
      </c>
      <c r="E86" s="7" t="s">
        <v>150</v>
      </c>
      <c r="F86" s="10">
        <v>0</v>
      </c>
      <c r="G86" s="10">
        <v>0</v>
      </c>
      <c r="H86" s="10">
        <v>12797.217119999999</v>
      </c>
      <c r="I86" s="10">
        <v>16634.263200000001</v>
      </c>
      <c r="J86" s="11">
        <v>29431.480319999999</v>
      </c>
      <c r="K86" s="7" t="s">
        <v>145</v>
      </c>
      <c r="L86" s="12" t="s">
        <v>2479</v>
      </c>
      <c r="M86" s="19">
        <v>0.29983441274926148</v>
      </c>
    </row>
    <row r="87" spans="1:13" x14ac:dyDescent="0.25">
      <c r="A87" t="s">
        <v>835</v>
      </c>
      <c r="B87" t="s">
        <v>809</v>
      </c>
      <c r="C87" t="s">
        <v>145</v>
      </c>
      <c r="D87" t="s">
        <v>829</v>
      </c>
      <c r="E87" t="s">
        <v>150</v>
      </c>
      <c r="F87" s="14">
        <v>0</v>
      </c>
      <c r="G87" s="14">
        <v>0</v>
      </c>
      <c r="H87" s="14">
        <v>10716.438</v>
      </c>
      <c r="I87" s="14">
        <v>9062.773439999999</v>
      </c>
      <c r="J87" s="15">
        <v>19779.211439999999</v>
      </c>
      <c r="K87" t="s">
        <v>145</v>
      </c>
      <c r="L87" s="21" t="s">
        <v>2479</v>
      </c>
      <c r="M87" s="18">
        <v>-0.1543110276007757</v>
      </c>
    </row>
    <row r="88" spans="1:13" x14ac:dyDescent="0.25">
      <c r="A88" s="7" t="s">
        <v>837</v>
      </c>
      <c r="B88" s="7" t="s">
        <v>809</v>
      </c>
      <c r="C88" s="7" t="s">
        <v>145</v>
      </c>
      <c r="D88" s="7" t="s">
        <v>817</v>
      </c>
      <c r="E88" s="7" t="s">
        <v>150</v>
      </c>
      <c r="F88" s="10">
        <v>0</v>
      </c>
      <c r="G88" s="10">
        <v>0</v>
      </c>
      <c r="H88" s="10">
        <v>5783.8401599999997</v>
      </c>
      <c r="I88" s="10">
        <v>8587.85808</v>
      </c>
      <c r="J88" s="11">
        <v>14371.69824</v>
      </c>
      <c r="K88" s="7" t="s">
        <v>145</v>
      </c>
      <c r="L88" s="12" t="s">
        <v>2479</v>
      </c>
      <c r="M88" s="19">
        <v>0.48480211112888022</v>
      </c>
    </row>
    <row r="89" spans="1:13" x14ac:dyDescent="0.25">
      <c r="A89" t="s">
        <v>839</v>
      </c>
      <c r="B89" t="s">
        <v>809</v>
      </c>
      <c r="C89" t="s">
        <v>145</v>
      </c>
      <c r="D89" t="s">
        <v>841</v>
      </c>
      <c r="E89" t="s">
        <v>150</v>
      </c>
      <c r="F89" s="14">
        <v>0</v>
      </c>
      <c r="G89" s="14">
        <v>0</v>
      </c>
      <c r="H89" s="14">
        <v>8452.89048</v>
      </c>
      <c r="I89" s="14">
        <v>7534.9058399999994</v>
      </c>
      <c r="J89" s="15">
        <v>15987.796319999999</v>
      </c>
      <c r="K89" t="s">
        <v>145</v>
      </c>
      <c r="L89" s="21" t="s">
        <v>2479</v>
      </c>
      <c r="M89" s="18">
        <v>-0.1086000868190594</v>
      </c>
    </row>
    <row r="90" spans="1:13" x14ac:dyDescent="0.25">
      <c r="A90" s="7" t="s">
        <v>842</v>
      </c>
      <c r="B90" s="7" t="s">
        <v>809</v>
      </c>
      <c r="C90" s="7" t="s">
        <v>145</v>
      </c>
      <c r="D90" s="7" t="s">
        <v>812</v>
      </c>
      <c r="E90" s="7" t="s">
        <v>150</v>
      </c>
      <c r="F90" s="10">
        <v>0</v>
      </c>
      <c r="G90" s="10">
        <v>0</v>
      </c>
      <c r="H90" s="10">
        <v>6823.2393599999996</v>
      </c>
      <c r="I90" s="10">
        <v>15437.944079999999</v>
      </c>
      <c r="J90" s="11">
        <v>22261.183440000001</v>
      </c>
      <c r="K90" s="7" t="s">
        <v>145</v>
      </c>
      <c r="L90" s="12" t="s">
        <v>2479</v>
      </c>
      <c r="M90" s="19">
        <v>1.2625534977568189</v>
      </c>
    </row>
    <row r="91" spans="1:13" x14ac:dyDescent="0.25">
      <c r="A91" t="s">
        <v>844</v>
      </c>
      <c r="B91" t="s">
        <v>809</v>
      </c>
      <c r="C91" t="s">
        <v>145</v>
      </c>
      <c r="D91" t="s">
        <v>829</v>
      </c>
      <c r="E91" t="s">
        <v>150</v>
      </c>
      <c r="F91" s="14">
        <v>0</v>
      </c>
      <c r="G91" s="14">
        <v>0</v>
      </c>
      <c r="H91" s="14">
        <v>5776.8369600000015</v>
      </c>
      <c r="I91" s="14">
        <v>11794.46328</v>
      </c>
      <c r="J91" s="15">
        <v>17571.30024</v>
      </c>
      <c r="K91" t="s">
        <v>145</v>
      </c>
      <c r="L91" s="21" t="s">
        <v>2479</v>
      </c>
      <c r="M91" s="16">
        <v>1.041681868757466</v>
      </c>
    </row>
    <row r="92" spans="1:13" x14ac:dyDescent="0.25">
      <c r="A92" s="7" t="s">
        <v>847</v>
      </c>
      <c r="B92" s="7" t="s">
        <v>809</v>
      </c>
      <c r="C92" s="7" t="s">
        <v>145</v>
      </c>
      <c r="D92" s="7" t="s">
        <v>826</v>
      </c>
      <c r="E92" s="7" t="s">
        <v>150</v>
      </c>
      <c r="F92" s="10">
        <v>0</v>
      </c>
      <c r="G92" s="10">
        <v>0</v>
      </c>
      <c r="H92" s="10">
        <v>8448.4819200000002</v>
      </c>
      <c r="I92" s="10">
        <v>13325.956560000001</v>
      </c>
      <c r="J92" s="11">
        <v>21774.438480000001</v>
      </c>
      <c r="K92" s="7" t="s">
        <v>145</v>
      </c>
      <c r="L92" s="12" t="s">
        <v>2479</v>
      </c>
      <c r="M92" s="19">
        <v>0.57731965176531952</v>
      </c>
    </row>
    <row r="93" spans="1:13" x14ac:dyDescent="0.25">
      <c r="A93" t="s">
        <v>849</v>
      </c>
      <c r="B93" t="s">
        <v>809</v>
      </c>
      <c r="C93" t="s">
        <v>145</v>
      </c>
      <c r="D93" t="s">
        <v>851</v>
      </c>
      <c r="E93" t="s">
        <v>150</v>
      </c>
      <c r="F93" s="14">
        <v>0</v>
      </c>
      <c r="G93" s="14">
        <v>0</v>
      </c>
      <c r="H93" s="14">
        <v>9555.0823199999995</v>
      </c>
      <c r="I93" s="14">
        <v>10183.6284</v>
      </c>
      <c r="J93" s="15">
        <v>19738.710719999999</v>
      </c>
      <c r="K93" t="s">
        <v>145</v>
      </c>
      <c r="L93" s="21" t="s">
        <v>2479</v>
      </c>
      <c r="M93" s="16">
        <v>6.5781335937250204E-2</v>
      </c>
    </row>
    <row r="94" spans="1:13" x14ac:dyDescent="0.25">
      <c r="A94" s="7" t="s">
        <v>852</v>
      </c>
      <c r="B94" s="7" t="s">
        <v>809</v>
      </c>
      <c r="C94" s="7" t="s">
        <v>145</v>
      </c>
      <c r="D94" s="7" t="s">
        <v>829</v>
      </c>
      <c r="E94" s="7" t="s">
        <v>150</v>
      </c>
      <c r="F94" s="10">
        <v>0</v>
      </c>
      <c r="G94" s="10">
        <v>0</v>
      </c>
      <c r="H94" s="10">
        <v>3700.61904</v>
      </c>
      <c r="I94" s="10">
        <v>7035.2774400000008</v>
      </c>
      <c r="J94" s="11">
        <v>10735.896479999999</v>
      </c>
      <c r="K94" s="7" t="s">
        <v>145</v>
      </c>
      <c r="L94" s="12" t="s">
        <v>2479</v>
      </c>
      <c r="M94" s="19">
        <v>0.90110826430812496</v>
      </c>
    </row>
    <row r="95" spans="1:13" x14ac:dyDescent="0.25">
      <c r="A95" t="s">
        <v>854</v>
      </c>
      <c r="B95" t="s">
        <v>809</v>
      </c>
      <c r="C95" t="s">
        <v>145</v>
      </c>
      <c r="D95" t="s">
        <v>851</v>
      </c>
      <c r="E95" t="s">
        <v>150</v>
      </c>
      <c r="F95" s="14">
        <v>0</v>
      </c>
      <c r="G95" s="14">
        <v>0</v>
      </c>
      <c r="H95" s="14">
        <v>3598.1090399999998</v>
      </c>
      <c r="I95" s="14">
        <v>5897.014799999999</v>
      </c>
      <c r="J95" s="15">
        <v>9495.1238400000002</v>
      </c>
      <c r="K95" t="s">
        <v>145</v>
      </c>
      <c r="L95" s="21" t="s">
        <v>2479</v>
      </c>
      <c r="M95" s="16">
        <v>0.6389205369940647</v>
      </c>
    </row>
    <row r="96" spans="1:13" x14ac:dyDescent="0.25">
      <c r="A96" s="7" t="s">
        <v>856</v>
      </c>
      <c r="B96" s="7" t="s">
        <v>809</v>
      </c>
      <c r="C96" s="7" t="s">
        <v>145</v>
      </c>
      <c r="D96" s="7" t="s">
        <v>834</v>
      </c>
      <c r="E96" s="7" t="s">
        <v>150</v>
      </c>
      <c r="F96" s="10">
        <v>0</v>
      </c>
      <c r="G96" s="10">
        <v>0</v>
      </c>
      <c r="H96" s="10">
        <v>4047.1310400000002</v>
      </c>
      <c r="I96" s="10">
        <v>4447.9003200000006</v>
      </c>
      <c r="J96" s="11">
        <v>8495.0313600000009</v>
      </c>
      <c r="K96" s="7" t="s">
        <v>145</v>
      </c>
      <c r="L96" s="12" t="s">
        <v>2479</v>
      </c>
      <c r="M96" s="19">
        <v>9.9025525993346741E-2</v>
      </c>
    </row>
    <row r="97" spans="1:13" x14ac:dyDescent="0.25">
      <c r="A97" t="s">
        <v>858</v>
      </c>
      <c r="B97" t="s">
        <v>809</v>
      </c>
      <c r="C97" t="s">
        <v>145</v>
      </c>
      <c r="D97" t="s">
        <v>860</v>
      </c>
      <c r="E97" t="s">
        <v>150</v>
      </c>
      <c r="F97" s="14">
        <v>0</v>
      </c>
      <c r="G97" s="14">
        <v>0</v>
      </c>
      <c r="H97" s="14">
        <v>8316.5162400000008</v>
      </c>
      <c r="I97" s="14">
        <v>7289.7732000000015</v>
      </c>
      <c r="J97" s="15">
        <v>15606.28944</v>
      </c>
      <c r="K97" t="s">
        <v>145</v>
      </c>
      <c r="L97" s="21" t="s">
        <v>2479</v>
      </c>
      <c r="M97" s="18">
        <v>-0.1234583099906266</v>
      </c>
    </row>
    <row r="98" spans="1:13" x14ac:dyDescent="0.25">
      <c r="A98" s="7" t="s">
        <v>861</v>
      </c>
      <c r="B98" s="7" t="s">
        <v>809</v>
      </c>
      <c r="C98" s="7" t="s">
        <v>304</v>
      </c>
      <c r="D98" s="7" t="s">
        <v>863</v>
      </c>
      <c r="E98" s="7" t="s">
        <v>150</v>
      </c>
      <c r="F98" s="10">
        <v>0</v>
      </c>
      <c r="G98" s="10">
        <v>170246.55</v>
      </c>
      <c r="H98" s="10">
        <v>606142.33840000001</v>
      </c>
      <c r="I98" s="10">
        <v>0</v>
      </c>
      <c r="J98" s="11">
        <v>776388.88840000005</v>
      </c>
      <c r="K98" s="12" t="s">
        <v>2479</v>
      </c>
      <c r="L98" s="19">
        <v>2.5603795695125688</v>
      </c>
      <c r="M98" s="13">
        <v>-1</v>
      </c>
    </row>
    <row r="99" spans="1:13" x14ac:dyDescent="0.25">
      <c r="A99" t="s">
        <v>865</v>
      </c>
      <c r="B99" t="s">
        <v>145</v>
      </c>
      <c r="C99" t="s">
        <v>417</v>
      </c>
      <c r="D99" t="s">
        <v>868</v>
      </c>
      <c r="E99" t="s">
        <v>150</v>
      </c>
      <c r="F99" s="14">
        <v>1362.9016200000001</v>
      </c>
      <c r="G99" s="14">
        <v>0</v>
      </c>
      <c r="H99" s="14">
        <v>0</v>
      </c>
      <c r="I99" s="14">
        <v>0</v>
      </c>
      <c r="J99" s="15">
        <v>1362.9016200000001</v>
      </c>
      <c r="K99" s="18">
        <v>-1</v>
      </c>
      <c r="L99" t="s">
        <v>145</v>
      </c>
      <c r="M99" t="s">
        <v>145</v>
      </c>
    </row>
    <row r="100" spans="1:13" x14ac:dyDescent="0.25">
      <c r="A100" s="7" t="s">
        <v>876</v>
      </c>
      <c r="B100" s="7" t="s">
        <v>145</v>
      </c>
      <c r="C100" s="7" t="s">
        <v>417</v>
      </c>
      <c r="D100" s="7" t="s">
        <v>879</v>
      </c>
      <c r="E100" s="7"/>
      <c r="F100" s="10">
        <v>0</v>
      </c>
      <c r="G100" s="10">
        <v>1276.9296300000001</v>
      </c>
      <c r="H100" s="10">
        <v>0</v>
      </c>
      <c r="I100" s="10">
        <v>0</v>
      </c>
      <c r="J100" s="11">
        <v>1276.9296300000001</v>
      </c>
      <c r="K100" s="12" t="s">
        <v>2479</v>
      </c>
      <c r="L100" s="13">
        <v>-1</v>
      </c>
      <c r="M100" s="7" t="s">
        <v>145</v>
      </c>
    </row>
    <row r="101" spans="1:13" x14ac:dyDescent="0.25">
      <c r="A101" t="s">
        <v>892</v>
      </c>
      <c r="B101" t="s">
        <v>145</v>
      </c>
      <c r="C101" t="s">
        <v>346</v>
      </c>
      <c r="D101" t="s">
        <v>159</v>
      </c>
      <c r="E101" t="s">
        <v>150</v>
      </c>
      <c r="F101" s="14">
        <v>51075.061970000002</v>
      </c>
      <c r="G101" s="14">
        <v>127931.74245000001</v>
      </c>
      <c r="H101" s="14">
        <v>128314.57545999999</v>
      </c>
      <c r="I101" s="14">
        <v>29643.611949999999</v>
      </c>
      <c r="J101" s="15">
        <v>336964.99183000001</v>
      </c>
      <c r="K101" s="16">
        <v>1.5047789961594831</v>
      </c>
      <c r="L101" s="17">
        <v>2.9924786661109939E-3</v>
      </c>
      <c r="M101" s="18">
        <v>-0.76897704844730663</v>
      </c>
    </row>
    <row r="102" spans="1:13" x14ac:dyDescent="0.25">
      <c r="A102" s="7" t="s">
        <v>907</v>
      </c>
      <c r="B102" s="7" t="s">
        <v>145</v>
      </c>
      <c r="C102" s="7" t="s">
        <v>145</v>
      </c>
      <c r="D102" s="7" t="s">
        <v>909</v>
      </c>
      <c r="E102" s="7" t="s">
        <v>910</v>
      </c>
      <c r="F102" s="10">
        <v>0</v>
      </c>
      <c r="G102" s="10">
        <v>2654934.3215299998</v>
      </c>
      <c r="H102" s="10">
        <v>682342.82146999997</v>
      </c>
      <c r="I102" s="10">
        <v>240986</v>
      </c>
      <c r="J102" s="11">
        <v>3578263.1430000002</v>
      </c>
      <c r="K102" s="12" t="s">
        <v>2479</v>
      </c>
      <c r="L102" s="13">
        <v>-0.74299069625316549</v>
      </c>
      <c r="M102" s="13">
        <v>-0.6468256242795466</v>
      </c>
    </row>
    <row r="103" spans="1:13" x14ac:dyDescent="0.25">
      <c r="A103" t="s">
        <v>912</v>
      </c>
      <c r="B103" t="s">
        <v>145</v>
      </c>
      <c r="C103" t="s">
        <v>146</v>
      </c>
      <c r="D103" t="s">
        <v>198</v>
      </c>
      <c r="E103" t="s">
        <v>150</v>
      </c>
      <c r="F103" s="14">
        <v>4326.1482299999998</v>
      </c>
      <c r="G103" s="14">
        <v>2453.3890500000002</v>
      </c>
      <c r="H103" s="14">
        <v>2445.7734</v>
      </c>
      <c r="I103" s="14">
        <v>932.41070000000002</v>
      </c>
      <c r="J103" s="15">
        <v>10157.721380000001</v>
      </c>
      <c r="K103" s="18">
        <v>-0.43289297556038669</v>
      </c>
      <c r="L103" s="17">
        <v>-3.104134666289365E-3</v>
      </c>
      <c r="M103" s="18">
        <v>-0.61876652186993286</v>
      </c>
    </row>
    <row r="104" spans="1:13" x14ac:dyDescent="0.25">
      <c r="A104" s="7" t="s">
        <v>944</v>
      </c>
      <c r="B104" s="7" t="s">
        <v>145</v>
      </c>
      <c r="C104" s="7" t="s">
        <v>145</v>
      </c>
      <c r="D104" s="7" t="s">
        <v>947</v>
      </c>
      <c r="E104" s="7" t="s">
        <v>150</v>
      </c>
      <c r="F104" s="10">
        <v>0</v>
      </c>
      <c r="G104" s="10">
        <v>0</v>
      </c>
      <c r="H104" s="10">
        <v>1653.65426</v>
      </c>
      <c r="I104" s="10">
        <v>0</v>
      </c>
      <c r="J104" s="11">
        <v>1653.65426</v>
      </c>
      <c r="K104" s="7" t="s">
        <v>145</v>
      </c>
      <c r="L104" s="12" t="s">
        <v>2479</v>
      </c>
      <c r="M104" s="13">
        <v>-1</v>
      </c>
    </row>
    <row r="105" spans="1:13" x14ac:dyDescent="0.25">
      <c r="A105" t="s">
        <v>955</v>
      </c>
      <c r="B105" t="s">
        <v>145</v>
      </c>
      <c r="C105" t="s">
        <v>346</v>
      </c>
      <c r="D105" t="s">
        <v>936</v>
      </c>
      <c r="E105" t="s">
        <v>150</v>
      </c>
      <c r="F105" s="14">
        <v>12324.902400000001</v>
      </c>
      <c r="G105" s="14">
        <v>11554.596</v>
      </c>
      <c r="H105" s="14">
        <v>0</v>
      </c>
      <c r="I105" s="14">
        <v>0</v>
      </c>
      <c r="J105" s="15">
        <v>23879.4984</v>
      </c>
      <c r="K105" s="18">
        <v>-6.2500000000000097E-2</v>
      </c>
      <c r="L105" s="18">
        <v>-1</v>
      </c>
      <c r="M105" t="s">
        <v>145</v>
      </c>
    </row>
    <row r="106" spans="1:13" x14ac:dyDescent="0.25">
      <c r="A106" s="7" t="s">
        <v>960</v>
      </c>
      <c r="B106" s="7" t="s">
        <v>652</v>
      </c>
      <c r="C106" s="7" t="s">
        <v>304</v>
      </c>
      <c r="D106" s="7" t="s">
        <v>466</v>
      </c>
      <c r="E106" s="7" t="s">
        <v>150</v>
      </c>
      <c r="F106" s="10">
        <v>2993.13</v>
      </c>
      <c r="G106" s="10">
        <v>42091.501550000001</v>
      </c>
      <c r="H106" s="10">
        <v>118466.25307999999</v>
      </c>
      <c r="I106" s="10">
        <v>32746.156459999998</v>
      </c>
      <c r="J106" s="11">
        <v>196297.04109000001</v>
      </c>
      <c r="K106" s="19">
        <v>13.062704109076449</v>
      </c>
      <c r="L106" s="19">
        <v>1.8144933945698121</v>
      </c>
      <c r="M106" s="13">
        <v>-0.7235824075748678</v>
      </c>
    </row>
    <row r="107" spans="1:13" x14ac:dyDescent="0.25">
      <c r="A107" t="s">
        <v>964</v>
      </c>
      <c r="B107" t="s">
        <v>652</v>
      </c>
      <c r="C107" t="s">
        <v>304</v>
      </c>
      <c r="E107" t="s">
        <v>150</v>
      </c>
      <c r="F107" s="14">
        <v>16087.2264</v>
      </c>
      <c r="G107" s="14">
        <v>28005.865829999999</v>
      </c>
      <c r="H107" s="14">
        <v>88869.856349999987</v>
      </c>
      <c r="I107" s="14">
        <v>20808.597300000001</v>
      </c>
      <c r="J107" s="15">
        <v>153771.54587999999</v>
      </c>
      <c r="K107" s="16">
        <v>0.740875967904573</v>
      </c>
      <c r="L107" s="16">
        <v>2.1732586626478172</v>
      </c>
      <c r="M107" s="18">
        <v>-0.76585314577252606</v>
      </c>
    </row>
    <row r="108" spans="1:13" x14ac:dyDescent="0.25">
      <c r="A108" s="7" t="s">
        <v>978</v>
      </c>
      <c r="B108" s="7" t="s">
        <v>381</v>
      </c>
      <c r="C108" s="7" t="s">
        <v>287</v>
      </c>
      <c r="D108" s="7" t="s">
        <v>390</v>
      </c>
      <c r="E108" s="7" t="s">
        <v>150</v>
      </c>
      <c r="F108" s="10">
        <v>611524.09586</v>
      </c>
      <c r="G108" s="10">
        <v>203780.92600000001</v>
      </c>
      <c r="H108" s="10">
        <v>85977.082370000004</v>
      </c>
      <c r="I108" s="10">
        <v>27553.754400000002</v>
      </c>
      <c r="J108" s="11">
        <v>928835.85862999992</v>
      </c>
      <c r="K108" s="13">
        <v>-0.666765500526323</v>
      </c>
      <c r="L108" s="13">
        <v>-0.57809062870781136</v>
      </c>
      <c r="M108" s="13">
        <v>-0.67952210472294017</v>
      </c>
    </row>
    <row r="109" spans="1:13" x14ac:dyDescent="0.25">
      <c r="A109" t="s">
        <v>982</v>
      </c>
      <c r="B109" t="s">
        <v>145</v>
      </c>
      <c r="C109" t="s">
        <v>417</v>
      </c>
      <c r="D109" t="s">
        <v>408</v>
      </c>
      <c r="E109" t="s">
        <v>150</v>
      </c>
      <c r="F109" s="14">
        <v>7644.7542899999999</v>
      </c>
      <c r="G109" s="14">
        <v>17916.138149999999</v>
      </c>
      <c r="H109" s="14">
        <v>2333.39752</v>
      </c>
      <c r="I109" s="14">
        <v>0</v>
      </c>
      <c r="J109" s="15">
        <v>27894.289959999998</v>
      </c>
      <c r="K109" s="16">
        <v>1.343585872136644</v>
      </c>
      <c r="L109" s="18">
        <v>-0.86976001745108222</v>
      </c>
      <c r="M109" s="18">
        <v>-1</v>
      </c>
    </row>
    <row r="110" spans="1:13" x14ac:dyDescent="0.25">
      <c r="A110" s="7" t="s">
        <v>992</v>
      </c>
      <c r="B110" s="7" t="s">
        <v>145</v>
      </c>
      <c r="C110" s="7" t="s">
        <v>287</v>
      </c>
      <c r="D110" s="7" t="s">
        <v>995</v>
      </c>
      <c r="E110" s="7" t="s">
        <v>150</v>
      </c>
      <c r="F110" s="10">
        <v>9139.4682900000007</v>
      </c>
      <c r="G110" s="10">
        <v>0</v>
      </c>
      <c r="H110" s="10">
        <v>0</v>
      </c>
      <c r="I110" s="10">
        <v>0</v>
      </c>
      <c r="J110" s="11">
        <v>9139.4682900000007</v>
      </c>
      <c r="K110" s="13">
        <v>-1</v>
      </c>
      <c r="L110" s="7" t="s">
        <v>145</v>
      </c>
      <c r="M110" s="7" t="s">
        <v>145</v>
      </c>
    </row>
    <row r="111" spans="1:13" x14ac:dyDescent="0.25">
      <c r="A111" t="s">
        <v>1014</v>
      </c>
      <c r="B111" t="s">
        <v>145</v>
      </c>
      <c r="C111" t="s">
        <v>417</v>
      </c>
      <c r="D111" t="s">
        <v>598</v>
      </c>
      <c r="E111" t="s">
        <v>150</v>
      </c>
      <c r="F111" s="14">
        <v>52457.028589999987</v>
      </c>
      <c r="G111" s="14">
        <v>25466.644609999999</v>
      </c>
      <c r="H111" s="14">
        <v>8097.7935799999996</v>
      </c>
      <c r="I111" s="14">
        <v>0</v>
      </c>
      <c r="J111" s="15">
        <v>86021.466779999988</v>
      </c>
      <c r="K111" s="18">
        <v>-0.51452369120932695</v>
      </c>
      <c r="L111" s="18">
        <v>-0.68202353690441664</v>
      </c>
      <c r="M111" s="18">
        <v>-1</v>
      </c>
    </row>
    <row r="112" spans="1:13" x14ac:dyDescent="0.25">
      <c r="A112" s="7" t="s">
        <v>1032</v>
      </c>
      <c r="B112" s="7" t="s">
        <v>1025</v>
      </c>
      <c r="C112" s="7" t="s">
        <v>287</v>
      </c>
      <c r="D112" s="7" t="s">
        <v>526</v>
      </c>
      <c r="E112" s="7" t="s">
        <v>527</v>
      </c>
      <c r="F112" s="10">
        <v>139605.6</v>
      </c>
      <c r="G112" s="10">
        <v>187889.76</v>
      </c>
      <c r="H112" s="10">
        <v>277215.96000000002</v>
      </c>
      <c r="I112" s="10">
        <v>0</v>
      </c>
      <c r="J112" s="11">
        <v>604711.31999999995</v>
      </c>
      <c r="K112" s="19">
        <v>0.34586119754508438</v>
      </c>
      <c r="L112" s="19">
        <v>0.47541813880649991</v>
      </c>
      <c r="M112" s="13">
        <v>-1</v>
      </c>
    </row>
    <row r="113" spans="1:13" x14ac:dyDescent="0.25">
      <c r="A113" t="s">
        <v>1037</v>
      </c>
      <c r="B113" t="s">
        <v>1025</v>
      </c>
      <c r="C113" t="s">
        <v>145</v>
      </c>
      <c r="D113" t="s">
        <v>909</v>
      </c>
      <c r="E113" t="s">
        <v>910</v>
      </c>
      <c r="F113" s="14">
        <v>0</v>
      </c>
      <c r="G113" s="14">
        <v>52051.8</v>
      </c>
      <c r="H113" s="14">
        <v>128904</v>
      </c>
      <c r="I113" s="14">
        <v>6754.68</v>
      </c>
      <c r="J113" s="15">
        <v>187710.48</v>
      </c>
      <c r="K113" s="21" t="s">
        <v>2479</v>
      </c>
      <c r="L113" s="16">
        <v>1.476456145608797</v>
      </c>
      <c r="M113" s="18">
        <v>-0.94759914354868735</v>
      </c>
    </row>
    <row r="114" spans="1:13" x14ac:dyDescent="0.25">
      <c r="A114" s="7" t="s">
        <v>1041</v>
      </c>
      <c r="B114" s="7" t="s">
        <v>1025</v>
      </c>
      <c r="C114" s="7" t="s">
        <v>287</v>
      </c>
      <c r="D114" s="7" t="s">
        <v>502</v>
      </c>
      <c r="E114" s="7" t="s">
        <v>150</v>
      </c>
      <c r="F114" s="10">
        <v>768703.38000000012</v>
      </c>
      <c r="G114" s="10">
        <v>868814.64</v>
      </c>
      <c r="H114" s="10">
        <v>1262141</v>
      </c>
      <c r="I114" s="10">
        <v>120080.28</v>
      </c>
      <c r="J114" s="11">
        <v>3019739.2999999989</v>
      </c>
      <c r="K114" s="19">
        <v>0.1302339271618656</v>
      </c>
      <c r="L114" s="19">
        <v>0.45271608222439691</v>
      </c>
      <c r="M114" s="13">
        <v>-0.90485985321766738</v>
      </c>
    </row>
    <row r="115" spans="1:13" x14ac:dyDescent="0.25">
      <c r="A115" t="s">
        <v>1043</v>
      </c>
      <c r="B115" t="s">
        <v>1025</v>
      </c>
      <c r="C115" t="s">
        <v>287</v>
      </c>
      <c r="D115" t="s">
        <v>1045</v>
      </c>
      <c r="E115" t="s">
        <v>1046</v>
      </c>
      <c r="F115" s="14">
        <v>187176.8</v>
      </c>
      <c r="G115" s="14">
        <v>386409.36</v>
      </c>
      <c r="H115" s="14">
        <v>398096.88000000012</v>
      </c>
      <c r="I115" s="14">
        <v>0</v>
      </c>
      <c r="J115" s="15">
        <v>971683.04</v>
      </c>
      <c r="K115" s="16">
        <v>1.064408409589223</v>
      </c>
      <c r="L115" s="17">
        <v>3.0246472290422981E-2</v>
      </c>
      <c r="M115" s="18">
        <v>-1</v>
      </c>
    </row>
    <row r="116" spans="1:13" x14ac:dyDescent="0.25">
      <c r="A116" s="7" t="s">
        <v>1047</v>
      </c>
      <c r="B116" s="7" t="s">
        <v>145</v>
      </c>
      <c r="C116" s="7" t="s">
        <v>145</v>
      </c>
      <c r="D116" s="7" t="s">
        <v>1050</v>
      </c>
      <c r="E116" s="7" t="s">
        <v>150</v>
      </c>
      <c r="F116" s="10">
        <v>0</v>
      </c>
      <c r="G116" s="10">
        <v>2143.3408399999998</v>
      </c>
      <c r="H116" s="10">
        <v>0</v>
      </c>
      <c r="I116" s="10">
        <v>0</v>
      </c>
      <c r="J116" s="11">
        <v>2143.3408399999998</v>
      </c>
      <c r="K116" s="12" t="s">
        <v>2479</v>
      </c>
      <c r="L116" s="13">
        <v>-1</v>
      </c>
      <c r="M116" s="7" t="s">
        <v>145</v>
      </c>
    </row>
    <row r="117" spans="1:13" x14ac:dyDescent="0.25">
      <c r="A117" t="s">
        <v>1058</v>
      </c>
      <c r="B117" t="s">
        <v>145</v>
      </c>
      <c r="C117" t="s">
        <v>1059</v>
      </c>
      <c r="D117" t="s">
        <v>183</v>
      </c>
      <c r="E117" t="s">
        <v>150</v>
      </c>
      <c r="F117" s="14">
        <v>2245.4354400000002</v>
      </c>
      <c r="G117" s="14">
        <v>1317.3263999999999</v>
      </c>
      <c r="H117" s="14">
        <v>0</v>
      </c>
      <c r="I117" s="14">
        <v>0</v>
      </c>
      <c r="J117" s="15">
        <v>3562.7618400000001</v>
      </c>
      <c r="K117" s="18">
        <v>-0.41333142938191098</v>
      </c>
      <c r="L117" s="18">
        <v>-1</v>
      </c>
      <c r="M117" t="s">
        <v>145</v>
      </c>
    </row>
    <row r="118" spans="1:13" x14ac:dyDescent="0.25">
      <c r="A118" s="7" t="s">
        <v>1072</v>
      </c>
      <c r="B118" s="7" t="s">
        <v>145</v>
      </c>
      <c r="C118" s="7" t="s">
        <v>145</v>
      </c>
      <c r="D118" s="7" t="s">
        <v>593</v>
      </c>
      <c r="E118" s="7" t="s">
        <v>150</v>
      </c>
      <c r="F118" s="10">
        <v>0</v>
      </c>
      <c r="G118" s="10">
        <v>2240.7688699999999</v>
      </c>
      <c r="H118" s="10">
        <v>0</v>
      </c>
      <c r="I118" s="10">
        <v>0</v>
      </c>
      <c r="J118" s="11">
        <v>2240.7688699999999</v>
      </c>
      <c r="K118" s="12" t="s">
        <v>2479</v>
      </c>
      <c r="L118" s="13">
        <v>-1</v>
      </c>
      <c r="M118" s="7" t="s">
        <v>145</v>
      </c>
    </row>
    <row r="119" spans="1:13" x14ac:dyDescent="0.25">
      <c r="A119" t="s">
        <v>1083</v>
      </c>
      <c r="B119" t="s">
        <v>145</v>
      </c>
      <c r="C119" t="s">
        <v>145</v>
      </c>
      <c r="D119" t="s">
        <v>1086</v>
      </c>
      <c r="E119" t="s">
        <v>150</v>
      </c>
      <c r="F119" s="14">
        <v>0</v>
      </c>
      <c r="G119" s="14">
        <v>2623.1233000000002</v>
      </c>
      <c r="H119" s="14">
        <v>0</v>
      </c>
      <c r="I119" s="14">
        <v>0</v>
      </c>
      <c r="J119" s="15">
        <v>2623.1233000000002</v>
      </c>
      <c r="K119" s="21" t="s">
        <v>2479</v>
      </c>
      <c r="L119" s="18">
        <v>-1</v>
      </c>
      <c r="M119" t="s">
        <v>145</v>
      </c>
    </row>
    <row r="120" spans="1:13" x14ac:dyDescent="0.25">
      <c r="A120" s="7" t="s">
        <v>1088</v>
      </c>
      <c r="B120" s="7" t="s">
        <v>145</v>
      </c>
      <c r="C120" s="7" t="s">
        <v>1059</v>
      </c>
      <c r="D120" s="7" t="s">
        <v>159</v>
      </c>
      <c r="E120" s="7" t="s">
        <v>150</v>
      </c>
      <c r="F120" s="10">
        <v>26740.537550000001</v>
      </c>
      <c r="G120" s="10">
        <v>42810.635620000001</v>
      </c>
      <c r="H120" s="10">
        <v>3785.1000600000002</v>
      </c>
      <c r="I120" s="10">
        <v>0</v>
      </c>
      <c r="J120" s="11">
        <v>73336.273229999992</v>
      </c>
      <c r="K120" s="19">
        <v>0.60096391255979065</v>
      </c>
      <c r="L120" s="13">
        <v>-0.91158505345265894</v>
      </c>
      <c r="M120" s="13">
        <v>-1</v>
      </c>
    </row>
    <row r="121" spans="1:13" x14ac:dyDescent="0.25">
      <c r="A121" t="s">
        <v>1099</v>
      </c>
      <c r="B121" t="s">
        <v>145</v>
      </c>
      <c r="C121" t="s">
        <v>1059</v>
      </c>
      <c r="E121" t="s">
        <v>150</v>
      </c>
      <c r="F121" s="14">
        <v>3948.7105700000002</v>
      </c>
      <c r="G121" s="14">
        <v>0</v>
      </c>
      <c r="H121" s="14">
        <v>0</v>
      </c>
      <c r="I121" s="14">
        <v>0</v>
      </c>
      <c r="J121" s="15">
        <v>3948.7105700000002</v>
      </c>
      <c r="K121" s="18">
        <v>-1</v>
      </c>
      <c r="L121" t="s">
        <v>145</v>
      </c>
      <c r="M121" t="s">
        <v>145</v>
      </c>
    </row>
    <row r="122" spans="1:13" x14ac:dyDescent="0.25">
      <c r="A122" s="7" t="s">
        <v>1104</v>
      </c>
      <c r="B122" s="7" t="s">
        <v>145</v>
      </c>
      <c r="C122" s="7" t="s">
        <v>145</v>
      </c>
      <c r="D122" s="7" t="s">
        <v>183</v>
      </c>
      <c r="E122" s="7" t="s">
        <v>150</v>
      </c>
      <c r="F122" s="10">
        <v>4090.7731199999998</v>
      </c>
      <c r="G122" s="10">
        <v>0</v>
      </c>
      <c r="H122" s="10">
        <v>0</v>
      </c>
      <c r="I122" s="10">
        <v>0</v>
      </c>
      <c r="J122" s="11">
        <v>4090.7731199999998</v>
      </c>
      <c r="K122" s="13">
        <v>-1</v>
      </c>
      <c r="L122" s="7" t="s">
        <v>145</v>
      </c>
      <c r="M122" s="7" t="s">
        <v>145</v>
      </c>
    </row>
    <row r="123" spans="1:13" x14ac:dyDescent="0.25">
      <c r="A123" t="s">
        <v>1113</v>
      </c>
      <c r="B123" t="s">
        <v>145</v>
      </c>
      <c r="C123" t="s">
        <v>145</v>
      </c>
      <c r="D123" t="s">
        <v>1116</v>
      </c>
      <c r="E123" t="s">
        <v>150</v>
      </c>
      <c r="F123" s="14">
        <v>1011.0635600000001</v>
      </c>
      <c r="G123" s="14">
        <v>0</v>
      </c>
      <c r="H123" s="14">
        <v>0</v>
      </c>
      <c r="I123" s="14">
        <v>0</v>
      </c>
      <c r="J123" s="15">
        <v>1011.0635600000001</v>
      </c>
      <c r="K123" s="18">
        <v>-1</v>
      </c>
      <c r="L123" t="s">
        <v>145</v>
      </c>
      <c r="M123" t="s">
        <v>145</v>
      </c>
    </row>
    <row r="124" spans="1:13" x14ac:dyDescent="0.25">
      <c r="A124" s="7" t="s">
        <v>1122</v>
      </c>
      <c r="B124" s="7" t="s">
        <v>1123</v>
      </c>
      <c r="C124" s="7" t="s">
        <v>304</v>
      </c>
      <c r="D124" s="7"/>
      <c r="E124" s="7" t="s">
        <v>150</v>
      </c>
      <c r="F124" s="10">
        <v>76264.921600000001</v>
      </c>
      <c r="G124" s="10">
        <v>43624.071539999997</v>
      </c>
      <c r="H124" s="10">
        <v>5246.4682300000004</v>
      </c>
      <c r="I124" s="10">
        <v>0</v>
      </c>
      <c r="J124" s="11">
        <v>125135.46137</v>
      </c>
      <c r="K124" s="13">
        <v>-0.42799296682159049</v>
      </c>
      <c r="L124" s="13">
        <v>-0.87973455835754855</v>
      </c>
      <c r="M124" s="13">
        <v>-1</v>
      </c>
    </row>
    <row r="125" spans="1:13" x14ac:dyDescent="0.25">
      <c r="A125" t="s">
        <v>1128</v>
      </c>
      <c r="B125" t="s">
        <v>1123</v>
      </c>
      <c r="C125" t="s">
        <v>304</v>
      </c>
      <c r="D125" t="s">
        <v>183</v>
      </c>
      <c r="E125" t="s">
        <v>150</v>
      </c>
      <c r="F125" s="14">
        <v>1222626.97107</v>
      </c>
      <c r="G125" s="14">
        <v>342368.32361999992</v>
      </c>
      <c r="H125" s="14">
        <v>11886.36996</v>
      </c>
      <c r="I125" s="14">
        <v>0</v>
      </c>
      <c r="J125" s="15">
        <v>1576881.6646499999</v>
      </c>
      <c r="K125" s="18">
        <v>-0.71997319565069695</v>
      </c>
      <c r="L125" s="18">
        <v>-0.96528192259634138</v>
      </c>
      <c r="M125" s="18">
        <v>-1</v>
      </c>
    </row>
    <row r="126" spans="1:13" x14ac:dyDescent="0.25">
      <c r="A126" s="7" t="s">
        <v>1131</v>
      </c>
      <c r="B126" s="7" t="s">
        <v>1123</v>
      </c>
      <c r="C126" s="7" t="s">
        <v>304</v>
      </c>
      <c r="D126" s="7" t="s">
        <v>1133</v>
      </c>
      <c r="E126" s="7" t="s">
        <v>150</v>
      </c>
      <c r="F126" s="10">
        <v>871704.5974699998</v>
      </c>
      <c r="G126" s="10">
        <v>0</v>
      </c>
      <c r="H126" s="10">
        <v>0</v>
      </c>
      <c r="I126" s="10">
        <v>0</v>
      </c>
      <c r="J126" s="11">
        <v>871704.5974699998</v>
      </c>
      <c r="K126" s="13">
        <v>-1</v>
      </c>
      <c r="L126" s="7" t="s">
        <v>145</v>
      </c>
      <c r="M126" s="7" t="s">
        <v>145</v>
      </c>
    </row>
    <row r="127" spans="1:13" x14ac:dyDescent="0.25">
      <c r="A127" t="s">
        <v>1141</v>
      </c>
      <c r="B127" t="s">
        <v>145</v>
      </c>
      <c r="C127" t="s">
        <v>145</v>
      </c>
      <c r="D127" t="s">
        <v>1144</v>
      </c>
      <c r="E127" t="s">
        <v>150</v>
      </c>
      <c r="F127" s="14">
        <v>31950.38797</v>
      </c>
      <c r="G127" s="14">
        <v>81537.792960000006</v>
      </c>
      <c r="H127" s="14">
        <v>0</v>
      </c>
      <c r="I127" s="14">
        <v>0</v>
      </c>
      <c r="J127" s="15">
        <v>113488.18093</v>
      </c>
      <c r="K127" s="16">
        <v>1.552012608941099</v>
      </c>
      <c r="L127" s="18">
        <v>-1</v>
      </c>
      <c r="M127" t="s">
        <v>145</v>
      </c>
    </row>
    <row r="128" spans="1:13" x14ac:dyDescent="0.25">
      <c r="A128" s="7" t="s">
        <v>1147</v>
      </c>
      <c r="B128" s="7" t="s">
        <v>145</v>
      </c>
      <c r="C128" s="7" t="s">
        <v>1148</v>
      </c>
      <c r="D128" s="7" t="s">
        <v>183</v>
      </c>
      <c r="E128" s="7" t="s">
        <v>150</v>
      </c>
      <c r="F128" s="10">
        <v>3747.24485</v>
      </c>
      <c r="G128" s="10">
        <v>0</v>
      </c>
      <c r="H128" s="10">
        <v>0</v>
      </c>
      <c r="I128" s="10">
        <v>0</v>
      </c>
      <c r="J128" s="11">
        <v>3747.24485</v>
      </c>
      <c r="K128" s="13">
        <v>-1</v>
      </c>
      <c r="L128" s="7" t="s">
        <v>145</v>
      </c>
      <c r="M128" s="7" t="s">
        <v>145</v>
      </c>
    </row>
    <row r="129" spans="1:13" x14ac:dyDescent="0.25">
      <c r="A129" t="s">
        <v>1153</v>
      </c>
      <c r="B129" t="s">
        <v>145</v>
      </c>
      <c r="C129" t="s">
        <v>145</v>
      </c>
      <c r="D129" t="s">
        <v>183</v>
      </c>
      <c r="E129" t="s">
        <v>150</v>
      </c>
      <c r="F129" s="14">
        <v>2411.26667</v>
      </c>
      <c r="G129" s="14">
        <v>0</v>
      </c>
      <c r="H129" s="14">
        <v>0</v>
      </c>
      <c r="I129" s="14">
        <v>0</v>
      </c>
      <c r="J129" s="15">
        <v>2411.26667</v>
      </c>
      <c r="K129" s="18">
        <v>-1</v>
      </c>
      <c r="L129" t="s">
        <v>145</v>
      </c>
      <c r="M129" t="s">
        <v>145</v>
      </c>
    </row>
    <row r="130" spans="1:13" x14ac:dyDescent="0.25">
      <c r="A130" s="7" t="s">
        <v>1158</v>
      </c>
      <c r="B130" s="7" t="s">
        <v>145</v>
      </c>
      <c r="C130" s="7" t="s">
        <v>417</v>
      </c>
      <c r="D130" s="7" t="s">
        <v>171</v>
      </c>
      <c r="E130" s="7" t="s">
        <v>150</v>
      </c>
      <c r="F130" s="10">
        <v>4529.6311999999998</v>
      </c>
      <c r="G130" s="10">
        <v>3268.6264999999999</v>
      </c>
      <c r="H130" s="10">
        <v>0</v>
      </c>
      <c r="I130" s="10">
        <v>0</v>
      </c>
      <c r="J130" s="11">
        <v>7798.2577000000001</v>
      </c>
      <c r="K130" s="13">
        <v>-0.27839014796613021</v>
      </c>
      <c r="L130" s="13">
        <v>-1</v>
      </c>
      <c r="M130" s="7" t="s">
        <v>145</v>
      </c>
    </row>
    <row r="131" spans="1:13" x14ac:dyDescent="0.25">
      <c r="A131" t="s">
        <v>1163</v>
      </c>
      <c r="B131" t="s">
        <v>145</v>
      </c>
      <c r="C131" t="s">
        <v>145</v>
      </c>
      <c r="D131" t="s">
        <v>1166</v>
      </c>
      <c r="E131" t="s">
        <v>150</v>
      </c>
      <c r="F131" s="14">
        <v>719921.1</v>
      </c>
      <c r="G131" s="14">
        <v>1051210</v>
      </c>
      <c r="H131" s="14">
        <v>774981.4</v>
      </c>
      <c r="I131" s="14">
        <v>144290.6</v>
      </c>
      <c r="J131" s="15">
        <v>2690403.1</v>
      </c>
      <c r="K131" s="16">
        <v>0.46017389961205468</v>
      </c>
      <c r="L131" s="18">
        <v>-0.2627720436449425</v>
      </c>
      <c r="M131" s="18">
        <v>-0.81381411218385369</v>
      </c>
    </row>
    <row r="132" spans="1:13" x14ac:dyDescent="0.25">
      <c r="A132" s="7" t="s">
        <v>1169</v>
      </c>
      <c r="B132" s="7" t="s">
        <v>145</v>
      </c>
      <c r="C132" s="7" t="s">
        <v>145</v>
      </c>
      <c r="D132" s="7" t="s">
        <v>1166</v>
      </c>
      <c r="E132" s="7" t="s">
        <v>150</v>
      </c>
      <c r="F132" s="10">
        <v>103444</v>
      </c>
      <c r="G132" s="10">
        <v>0</v>
      </c>
      <c r="H132" s="10">
        <v>0</v>
      </c>
      <c r="I132" s="10">
        <v>0</v>
      </c>
      <c r="J132" s="11">
        <v>103444</v>
      </c>
      <c r="K132" s="13">
        <v>-1</v>
      </c>
      <c r="L132" s="7" t="s">
        <v>145</v>
      </c>
      <c r="M132" s="7" t="s">
        <v>145</v>
      </c>
    </row>
    <row r="133" spans="1:13" x14ac:dyDescent="0.25">
      <c r="A133" t="s">
        <v>1173</v>
      </c>
      <c r="B133" t="s">
        <v>145</v>
      </c>
      <c r="C133" t="s">
        <v>145</v>
      </c>
      <c r="D133" t="s">
        <v>1176</v>
      </c>
      <c r="E133" t="s">
        <v>150</v>
      </c>
      <c r="F133" s="14">
        <v>0</v>
      </c>
      <c r="G133" s="14">
        <v>2035.4308100000001</v>
      </c>
      <c r="H133" s="14">
        <v>0</v>
      </c>
      <c r="I133" s="14">
        <v>0</v>
      </c>
      <c r="J133" s="15">
        <v>2035.4308100000001</v>
      </c>
      <c r="K133" s="21" t="s">
        <v>2479</v>
      </c>
      <c r="L133" s="18">
        <v>-1</v>
      </c>
      <c r="M133" t="s">
        <v>145</v>
      </c>
    </row>
    <row r="134" spans="1:13" x14ac:dyDescent="0.25">
      <c r="A134" s="7" t="s">
        <v>1179</v>
      </c>
      <c r="B134" s="7" t="s">
        <v>1180</v>
      </c>
      <c r="C134" s="7" t="s">
        <v>146</v>
      </c>
      <c r="D134" s="7"/>
      <c r="E134" s="7" t="s">
        <v>150</v>
      </c>
      <c r="F134" s="10">
        <v>381.80626000000001</v>
      </c>
      <c r="G134" s="10">
        <v>0</v>
      </c>
      <c r="H134" s="10">
        <v>0</v>
      </c>
      <c r="I134" s="10">
        <v>0</v>
      </c>
      <c r="J134" s="11">
        <v>381.80626000000001</v>
      </c>
      <c r="K134" s="13">
        <v>-1</v>
      </c>
      <c r="L134" s="7" t="s">
        <v>145</v>
      </c>
      <c r="M134" s="7" t="s">
        <v>145</v>
      </c>
    </row>
    <row r="135" spans="1:13" x14ac:dyDescent="0.25">
      <c r="A135" t="s">
        <v>1199</v>
      </c>
      <c r="B135" t="s">
        <v>145</v>
      </c>
      <c r="C135" t="s">
        <v>417</v>
      </c>
      <c r="D135" t="s">
        <v>1202</v>
      </c>
      <c r="E135" t="s">
        <v>150</v>
      </c>
      <c r="F135" s="14">
        <v>0</v>
      </c>
      <c r="G135" s="14">
        <v>1290.08879</v>
      </c>
      <c r="H135" s="14">
        <v>0</v>
      </c>
      <c r="I135" s="14">
        <v>0</v>
      </c>
      <c r="J135" s="15">
        <v>1290.08879</v>
      </c>
      <c r="K135" s="21" t="s">
        <v>2479</v>
      </c>
      <c r="L135" s="18">
        <v>-1</v>
      </c>
      <c r="M135" t="s">
        <v>145</v>
      </c>
    </row>
    <row r="136" spans="1:13" x14ac:dyDescent="0.25">
      <c r="A136" s="7" t="s">
        <v>1205</v>
      </c>
      <c r="B136" s="7" t="s">
        <v>145</v>
      </c>
      <c r="C136" s="7" t="s">
        <v>346</v>
      </c>
      <c r="D136" s="7" t="s">
        <v>1208</v>
      </c>
      <c r="E136" s="7" t="s">
        <v>150</v>
      </c>
      <c r="F136" s="10">
        <v>1205341.2620000001</v>
      </c>
      <c r="G136" s="10">
        <v>385735.44</v>
      </c>
      <c r="H136" s="10">
        <v>263262.7</v>
      </c>
      <c r="I136" s="10">
        <v>0</v>
      </c>
      <c r="J136" s="11">
        <v>1854339.402</v>
      </c>
      <c r="K136" s="13">
        <v>-0.67997823341751662</v>
      </c>
      <c r="L136" s="13">
        <v>-0.31750450516032441</v>
      </c>
      <c r="M136" s="13">
        <v>-1</v>
      </c>
    </row>
    <row r="137" spans="1:13" x14ac:dyDescent="0.25">
      <c r="A137" t="s">
        <v>1225</v>
      </c>
      <c r="B137" t="s">
        <v>145</v>
      </c>
      <c r="C137" t="s">
        <v>145</v>
      </c>
      <c r="D137" t="s">
        <v>183</v>
      </c>
      <c r="E137" t="s">
        <v>150</v>
      </c>
      <c r="F137" s="14">
        <v>0</v>
      </c>
      <c r="G137" s="14">
        <v>456.86966000000001</v>
      </c>
      <c r="H137" s="14">
        <v>0</v>
      </c>
      <c r="I137" s="14">
        <v>0</v>
      </c>
      <c r="J137" s="15">
        <v>456.86966000000001</v>
      </c>
      <c r="K137" s="21" t="s">
        <v>2479</v>
      </c>
      <c r="L137" s="18">
        <v>-1</v>
      </c>
      <c r="M137" t="s">
        <v>145</v>
      </c>
    </row>
    <row r="138" spans="1:13" x14ac:dyDescent="0.25">
      <c r="A138" s="7" t="s">
        <v>1234</v>
      </c>
      <c r="B138" s="7" t="s">
        <v>145</v>
      </c>
      <c r="C138" s="7" t="s">
        <v>1059</v>
      </c>
      <c r="D138" s="7" t="s">
        <v>1237</v>
      </c>
      <c r="E138" s="7" t="s">
        <v>150</v>
      </c>
      <c r="F138" s="10">
        <v>3718.8556800000001</v>
      </c>
      <c r="G138" s="10">
        <v>7350.8775900000001</v>
      </c>
      <c r="H138" s="10">
        <v>7985.51764</v>
      </c>
      <c r="I138" s="10">
        <v>0</v>
      </c>
      <c r="J138" s="11">
        <v>19055.250909999999</v>
      </c>
      <c r="K138" s="19">
        <v>0.97665040607330067</v>
      </c>
      <c r="L138" s="19">
        <v>8.6335276601987324E-2</v>
      </c>
      <c r="M138" s="13">
        <v>-1</v>
      </c>
    </row>
    <row r="139" spans="1:13" x14ac:dyDescent="0.25">
      <c r="A139" t="s">
        <v>1260</v>
      </c>
      <c r="B139" t="s">
        <v>145</v>
      </c>
      <c r="C139" t="s">
        <v>146</v>
      </c>
      <c r="D139" t="s">
        <v>171</v>
      </c>
      <c r="E139" t="s">
        <v>150</v>
      </c>
      <c r="F139" s="14">
        <v>0</v>
      </c>
      <c r="G139" s="14">
        <v>0</v>
      </c>
      <c r="H139" s="14">
        <v>30106.428159999999</v>
      </c>
      <c r="I139" s="14">
        <v>0</v>
      </c>
      <c r="J139" s="15">
        <v>30106.428159999999</v>
      </c>
      <c r="K139" t="s">
        <v>145</v>
      </c>
      <c r="L139" s="21" t="s">
        <v>2479</v>
      </c>
      <c r="M139" s="18">
        <v>-1</v>
      </c>
    </row>
    <row r="140" spans="1:13" x14ac:dyDescent="0.25">
      <c r="A140" s="7" t="s">
        <v>1265</v>
      </c>
      <c r="B140" s="7" t="s">
        <v>145</v>
      </c>
      <c r="C140" s="7" t="s">
        <v>145</v>
      </c>
      <c r="D140" s="7" t="s">
        <v>1208</v>
      </c>
      <c r="E140" s="7" t="s">
        <v>150</v>
      </c>
      <c r="F140" s="10">
        <v>0</v>
      </c>
      <c r="G140" s="10">
        <v>15656.71392</v>
      </c>
      <c r="H140" s="10">
        <v>51025.370049999998</v>
      </c>
      <c r="I140" s="10">
        <v>13959.5288</v>
      </c>
      <c r="J140" s="11">
        <v>80641.612769999992</v>
      </c>
      <c r="K140" s="12" t="s">
        <v>2479</v>
      </c>
      <c r="L140" s="19">
        <v>2.2590089025526501</v>
      </c>
      <c r="M140" s="13">
        <v>-0.72641984200563381</v>
      </c>
    </row>
    <row r="141" spans="1:13" x14ac:dyDescent="0.25">
      <c r="A141" t="s">
        <v>1280</v>
      </c>
      <c r="B141" t="s">
        <v>145</v>
      </c>
      <c r="C141" t="s">
        <v>145</v>
      </c>
      <c r="D141" t="s">
        <v>995</v>
      </c>
      <c r="E141" t="s">
        <v>150</v>
      </c>
      <c r="F141" s="14">
        <v>0</v>
      </c>
      <c r="G141" s="14">
        <v>6650.1257799999994</v>
      </c>
      <c r="H141" s="14">
        <v>0</v>
      </c>
      <c r="I141" s="14">
        <v>0</v>
      </c>
      <c r="J141" s="15">
        <v>6650.1257799999994</v>
      </c>
      <c r="K141" s="21" t="s">
        <v>2479</v>
      </c>
      <c r="L141" s="18">
        <v>-1</v>
      </c>
      <c r="M141" t="s">
        <v>145</v>
      </c>
    </row>
    <row r="142" spans="1:13" x14ac:dyDescent="0.25">
      <c r="A142" s="7" t="s">
        <v>1285</v>
      </c>
      <c r="B142" s="7" t="s">
        <v>1277</v>
      </c>
      <c r="C142" s="7" t="s">
        <v>145</v>
      </c>
      <c r="D142" s="7" t="s">
        <v>183</v>
      </c>
      <c r="E142" s="7" t="s">
        <v>150</v>
      </c>
      <c r="F142" s="10">
        <v>0</v>
      </c>
      <c r="G142" s="10">
        <v>0</v>
      </c>
      <c r="H142" s="10">
        <v>14611.849200000001</v>
      </c>
      <c r="I142" s="10">
        <v>0</v>
      </c>
      <c r="J142" s="11">
        <v>14611.849200000001</v>
      </c>
      <c r="K142" s="7" t="s">
        <v>145</v>
      </c>
      <c r="L142" s="12" t="s">
        <v>2479</v>
      </c>
      <c r="M142" s="13">
        <v>-1</v>
      </c>
    </row>
    <row r="143" spans="1:13" x14ac:dyDescent="0.25">
      <c r="A143" t="s">
        <v>1306</v>
      </c>
      <c r="B143" t="s">
        <v>585</v>
      </c>
      <c r="C143" t="s">
        <v>304</v>
      </c>
      <c r="D143" t="s">
        <v>778</v>
      </c>
      <c r="E143" t="s">
        <v>150</v>
      </c>
      <c r="F143" s="14">
        <v>199666.81224999999</v>
      </c>
      <c r="G143" s="14">
        <v>295621.28003000002</v>
      </c>
      <c r="H143" s="14">
        <v>27886.928929999991</v>
      </c>
      <c r="I143" s="14">
        <v>2685.19</v>
      </c>
      <c r="J143" s="15">
        <v>525860.21120999998</v>
      </c>
      <c r="K143" s="16">
        <v>0.48057294398959433</v>
      </c>
      <c r="L143" s="18">
        <v>-0.90566670664855387</v>
      </c>
      <c r="M143" s="18">
        <v>-0.90371151994756427</v>
      </c>
    </row>
    <row r="144" spans="1:13" x14ac:dyDescent="0.25">
      <c r="A144" s="7" t="s">
        <v>1309</v>
      </c>
      <c r="B144" s="7" t="s">
        <v>585</v>
      </c>
      <c r="C144" s="7" t="s">
        <v>304</v>
      </c>
      <c r="D144" s="7" t="s">
        <v>183</v>
      </c>
      <c r="E144" s="7" t="s">
        <v>150</v>
      </c>
      <c r="F144" s="10">
        <v>30620.738010000001</v>
      </c>
      <c r="G144" s="10">
        <v>30540.821639999998</v>
      </c>
      <c r="H144" s="10">
        <v>41701.355569999992</v>
      </c>
      <c r="I144" s="10">
        <v>5111.6325900000002</v>
      </c>
      <c r="J144" s="11">
        <v>107974.54781</v>
      </c>
      <c r="K144" s="20">
        <v>-2.6098773313008939E-3</v>
      </c>
      <c r="L144" s="19">
        <v>0.36543004839734872</v>
      </c>
      <c r="M144" s="13">
        <v>-0.8774228674312613</v>
      </c>
    </row>
    <row r="145" spans="1:13" x14ac:dyDescent="0.25">
      <c r="A145" t="s">
        <v>1312</v>
      </c>
      <c r="B145" t="s">
        <v>585</v>
      </c>
      <c r="C145" t="s">
        <v>304</v>
      </c>
      <c r="D145" t="s">
        <v>1314</v>
      </c>
      <c r="E145" t="s">
        <v>150</v>
      </c>
      <c r="F145" s="14">
        <v>1736.99136</v>
      </c>
      <c r="G145" s="14">
        <v>1976.7323200000001</v>
      </c>
      <c r="H145" s="14">
        <v>5258.1381099999999</v>
      </c>
      <c r="I145" s="14">
        <v>513.02</v>
      </c>
      <c r="J145" s="15">
        <v>9484.8817899999995</v>
      </c>
      <c r="K145" s="16">
        <v>0.13802081318354989</v>
      </c>
      <c r="L145" s="16">
        <v>1.660015246778582</v>
      </c>
      <c r="M145" s="18">
        <v>-0.902433144723922</v>
      </c>
    </row>
    <row r="146" spans="1:13" x14ac:dyDescent="0.25">
      <c r="A146" s="7" t="s">
        <v>1316</v>
      </c>
      <c r="B146" s="7" t="s">
        <v>585</v>
      </c>
      <c r="C146" s="7" t="s">
        <v>304</v>
      </c>
      <c r="D146" s="7" t="s">
        <v>159</v>
      </c>
      <c r="E146" s="7" t="s">
        <v>150</v>
      </c>
      <c r="F146" s="10">
        <v>3866.8514399999999</v>
      </c>
      <c r="G146" s="10">
        <v>8079.3519799999985</v>
      </c>
      <c r="H146" s="10">
        <v>11106.67887</v>
      </c>
      <c r="I146" s="10">
        <v>2268.53584</v>
      </c>
      <c r="J146" s="11">
        <v>25321.418129999998</v>
      </c>
      <c r="K146" s="19">
        <v>1.08938773711979</v>
      </c>
      <c r="L146" s="19">
        <v>0.37469922061744387</v>
      </c>
      <c r="M146" s="13">
        <v>-0.79575029884698556</v>
      </c>
    </row>
    <row r="147" spans="1:13" x14ac:dyDescent="0.25">
      <c r="A147" t="s">
        <v>1320</v>
      </c>
      <c r="B147" t="s">
        <v>585</v>
      </c>
      <c r="C147" t="s">
        <v>304</v>
      </c>
      <c r="D147" t="s">
        <v>159</v>
      </c>
      <c r="E147" t="s">
        <v>150</v>
      </c>
      <c r="F147" s="14">
        <v>5684.9732100000001</v>
      </c>
      <c r="G147" s="14">
        <v>9016.24863</v>
      </c>
      <c r="H147" s="14">
        <v>14030.447410000001</v>
      </c>
      <c r="I147" s="14">
        <v>1020.85</v>
      </c>
      <c r="J147" s="15">
        <v>29752.519250000001</v>
      </c>
      <c r="K147" s="16">
        <v>0.58597908854525627</v>
      </c>
      <c r="L147" s="16">
        <v>0.55612916033794002</v>
      </c>
      <c r="M147" s="18">
        <v>-0.92724038156670585</v>
      </c>
    </row>
    <row r="148" spans="1:13" x14ac:dyDescent="0.25">
      <c r="A148" s="7" t="s">
        <v>1335</v>
      </c>
      <c r="B148" s="7" t="s">
        <v>145</v>
      </c>
      <c r="C148" s="7" t="s">
        <v>417</v>
      </c>
      <c r="D148" s="7" t="s">
        <v>868</v>
      </c>
      <c r="E148" s="7" t="s">
        <v>150</v>
      </c>
      <c r="F148" s="10">
        <v>3213.7882199999999</v>
      </c>
      <c r="G148" s="10">
        <v>1504.7103999999999</v>
      </c>
      <c r="H148" s="10">
        <v>0</v>
      </c>
      <c r="I148" s="10">
        <v>0</v>
      </c>
      <c r="J148" s="11">
        <v>4718.4986200000003</v>
      </c>
      <c r="K148" s="13">
        <v>-0.53179540872173592</v>
      </c>
      <c r="L148" s="13">
        <v>-1</v>
      </c>
      <c r="M148" s="7" t="s">
        <v>145</v>
      </c>
    </row>
    <row r="149" spans="1:13" x14ac:dyDescent="0.25">
      <c r="A149" t="s">
        <v>1340</v>
      </c>
      <c r="B149" t="s">
        <v>145</v>
      </c>
      <c r="C149" t="s">
        <v>417</v>
      </c>
      <c r="D149" t="s">
        <v>1343</v>
      </c>
      <c r="E149" t="s">
        <v>150</v>
      </c>
      <c r="F149" s="14">
        <v>6671.6054299999996</v>
      </c>
      <c r="G149" s="14">
        <v>9612.7562699999999</v>
      </c>
      <c r="H149" s="14">
        <v>2976.2138399999999</v>
      </c>
      <c r="I149" s="14">
        <v>0</v>
      </c>
      <c r="J149" s="15">
        <v>19260.575540000002</v>
      </c>
      <c r="K149" s="16">
        <v>0.44084604086066292</v>
      </c>
      <c r="L149" s="18">
        <v>-0.69038912915244444</v>
      </c>
      <c r="M149" s="18">
        <v>-1</v>
      </c>
    </row>
    <row r="150" spans="1:13" x14ac:dyDescent="0.25">
      <c r="A150" s="7" t="s">
        <v>1351</v>
      </c>
      <c r="B150" s="7" t="s">
        <v>145</v>
      </c>
      <c r="C150" s="7" t="s">
        <v>46</v>
      </c>
      <c r="D150" s="7" t="s">
        <v>149</v>
      </c>
      <c r="E150" s="7" t="s">
        <v>150</v>
      </c>
      <c r="F150" s="10">
        <v>107900</v>
      </c>
      <c r="G150" s="10">
        <v>0</v>
      </c>
      <c r="H150" s="10">
        <v>0</v>
      </c>
      <c r="I150" s="10">
        <v>0</v>
      </c>
      <c r="J150" s="11">
        <v>107900</v>
      </c>
      <c r="K150" s="13">
        <v>-1</v>
      </c>
      <c r="L150" s="7" t="s">
        <v>145</v>
      </c>
      <c r="M150" s="7" t="s">
        <v>145</v>
      </c>
    </row>
    <row r="151" spans="1:13" x14ac:dyDescent="0.25">
      <c r="A151" t="s">
        <v>1356</v>
      </c>
      <c r="B151" t="s">
        <v>145</v>
      </c>
      <c r="C151" t="s">
        <v>145</v>
      </c>
      <c r="D151" t="s">
        <v>1133</v>
      </c>
      <c r="E151" t="s">
        <v>150</v>
      </c>
      <c r="F151" s="14">
        <v>565.07647999999995</v>
      </c>
      <c r="G151" s="14">
        <v>0</v>
      </c>
      <c r="H151" s="14">
        <v>0</v>
      </c>
      <c r="I151" s="14">
        <v>0</v>
      </c>
      <c r="J151" s="15">
        <v>565.07647999999995</v>
      </c>
      <c r="K151" s="18">
        <v>-1</v>
      </c>
      <c r="L151" t="s">
        <v>145</v>
      </c>
      <c r="M151" t="s">
        <v>145</v>
      </c>
    </row>
    <row r="152" spans="1:13" x14ac:dyDescent="0.25">
      <c r="A152" s="7" t="s">
        <v>1361</v>
      </c>
      <c r="B152" s="7" t="s">
        <v>145</v>
      </c>
      <c r="C152" s="7" t="s">
        <v>146</v>
      </c>
      <c r="D152" s="7" t="s">
        <v>159</v>
      </c>
      <c r="E152" s="7" t="s">
        <v>150</v>
      </c>
      <c r="F152" s="10">
        <v>2313.38537</v>
      </c>
      <c r="G152" s="10">
        <v>962.59720000000004</v>
      </c>
      <c r="H152" s="10">
        <v>980.23283000000004</v>
      </c>
      <c r="I152" s="10">
        <v>0</v>
      </c>
      <c r="J152" s="11">
        <v>4256.2154</v>
      </c>
      <c r="K152" s="13">
        <v>-0.58390106011606702</v>
      </c>
      <c r="L152" s="20">
        <v>1.8320882296354059E-2</v>
      </c>
      <c r="M152" s="13">
        <v>-1</v>
      </c>
    </row>
    <row r="153" spans="1:13" x14ac:dyDescent="0.25">
      <c r="A153" t="s">
        <v>1366</v>
      </c>
      <c r="B153" t="s">
        <v>1367</v>
      </c>
      <c r="C153" t="s">
        <v>146</v>
      </c>
      <c r="D153" t="s">
        <v>198</v>
      </c>
      <c r="E153" t="s">
        <v>150</v>
      </c>
      <c r="F153" s="14">
        <v>7708.3127199999999</v>
      </c>
      <c r="G153" s="14">
        <v>0</v>
      </c>
      <c r="H153" s="14">
        <v>0</v>
      </c>
      <c r="I153" s="14">
        <v>0</v>
      </c>
      <c r="J153" s="15">
        <v>7708.3127199999999</v>
      </c>
      <c r="K153" s="18">
        <v>-1</v>
      </c>
      <c r="L153" t="s">
        <v>145</v>
      </c>
      <c r="M153" t="s">
        <v>145</v>
      </c>
    </row>
    <row r="154" spans="1:13" x14ac:dyDescent="0.25">
      <c r="A154" s="7" t="s">
        <v>1372</v>
      </c>
      <c r="B154" s="7" t="s">
        <v>145</v>
      </c>
      <c r="C154" s="7" t="s">
        <v>304</v>
      </c>
      <c r="D154" s="7" t="s">
        <v>1375</v>
      </c>
      <c r="E154" s="7" t="s">
        <v>150</v>
      </c>
      <c r="F154" s="10">
        <v>19645.714070000002</v>
      </c>
      <c r="G154" s="10">
        <v>38698.241939999993</v>
      </c>
      <c r="H154" s="10">
        <v>38920.230689999997</v>
      </c>
      <c r="I154" s="10">
        <v>0</v>
      </c>
      <c r="J154" s="11">
        <v>97264.186699999991</v>
      </c>
      <c r="K154" s="19">
        <v>0.96980582136712301</v>
      </c>
      <c r="L154" s="20">
        <v>5.7364040036802797E-3</v>
      </c>
      <c r="M154" s="13">
        <v>-1</v>
      </c>
    </row>
    <row r="155" spans="1:13" x14ac:dyDescent="0.25">
      <c r="A155" t="s">
        <v>1386</v>
      </c>
      <c r="B155" t="s">
        <v>145</v>
      </c>
      <c r="C155" t="s">
        <v>287</v>
      </c>
      <c r="D155" t="s">
        <v>198</v>
      </c>
      <c r="E155" t="s">
        <v>150</v>
      </c>
      <c r="F155" s="14">
        <v>532026.93839000002</v>
      </c>
      <c r="G155" s="14">
        <v>3186836.2835599999</v>
      </c>
      <c r="H155" s="14">
        <v>3344111.4473299999</v>
      </c>
      <c r="I155" s="14">
        <v>0</v>
      </c>
      <c r="J155" s="15">
        <v>7062974.66928</v>
      </c>
      <c r="K155" s="16">
        <v>4.9899904565056126</v>
      </c>
      <c r="L155" s="17">
        <v>4.9351504054770151E-2</v>
      </c>
      <c r="M155" s="18">
        <v>-1</v>
      </c>
    </row>
    <row r="156" spans="1:13" x14ac:dyDescent="0.25">
      <c r="A156" s="7" t="s">
        <v>1401</v>
      </c>
      <c r="B156" s="7" t="s">
        <v>145</v>
      </c>
      <c r="C156" s="7" t="s">
        <v>346</v>
      </c>
      <c r="D156" s="7"/>
      <c r="E156" s="7" t="s">
        <v>150</v>
      </c>
      <c r="F156" s="10">
        <v>170410.26941000001</v>
      </c>
      <c r="G156" s="10">
        <v>240674.04102</v>
      </c>
      <c r="H156" s="10">
        <v>119924.62547</v>
      </c>
      <c r="I156" s="10">
        <v>0</v>
      </c>
      <c r="J156" s="11">
        <v>531008.93589999992</v>
      </c>
      <c r="K156" s="19">
        <v>0.41232122837003599</v>
      </c>
      <c r="L156" s="13">
        <v>-0.50171350029380912</v>
      </c>
      <c r="M156" s="13">
        <v>-1</v>
      </c>
    </row>
    <row r="157" spans="1:13" x14ac:dyDescent="0.25">
      <c r="A157" t="s">
        <v>1406</v>
      </c>
      <c r="B157" t="s">
        <v>1407</v>
      </c>
      <c r="C157" t="s">
        <v>145</v>
      </c>
      <c r="D157" t="s">
        <v>1410</v>
      </c>
      <c r="E157" t="s">
        <v>215</v>
      </c>
      <c r="F157" s="14">
        <v>0</v>
      </c>
      <c r="G157" s="14">
        <v>17948.599999999999</v>
      </c>
      <c r="H157" s="14">
        <v>0</v>
      </c>
      <c r="I157" s="14">
        <v>0</v>
      </c>
      <c r="J157" s="15">
        <v>17948.599999999999</v>
      </c>
      <c r="K157" s="21" t="s">
        <v>2479</v>
      </c>
      <c r="L157" s="18">
        <v>-1</v>
      </c>
      <c r="M157" t="s">
        <v>145</v>
      </c>
    </row>
    <row r="158" spans="1:13" x14ac:dyDescent="0.25">
      <c r="A158" s="7" t="s">
        <v>1413</v>
      </c>
      <c r="B158" s="7" t="s">
        <v>1407</v>
      </c>
      <c r="C158" s="7" t="s">
        <v>304</v>
      </c>
      <c r="D158" s="7" t="s">
        <v>593</v>
      </c>
      <c r="E158" s="7" t="s">
        <v>150</v>
      </c>
      <c r="F158" s="10">
        <v>17251.574349999999</v>
      </c>
      <c r="G158" s="10">
        <v>0</v>
      </c>
      <c r="H158" s="10">
        <v>0</v>
      </c>
      <c r="I158" s="10">
        <v>0</v>
      </c>
      <c r="J158" s="11">
        <v>17251.574349999999</v>
      </c>
      <c r="K158" s="13">
        <v>-1</v>
      </c>
      <c r="L158" s="7" t="s">
        <v>145</v>
      </c>
      <c r="M158" s="7" t="s">
        <v>145</v>
      </c>
    </row>
    <row r="159" spans="1:13" x14ac:dyDescent="0.25">
      <c r="A159" t="s">
        <v>1415</v>
      </c>
      <c r="B159" t="s">
        <v>1416</v>
      </c>
      <c r="C159" t="s">
        <v>304</v>
      </c>
      <c r="D159" t="s">
        <v>1419</v>
      </c>
      <c r="E159" t="s">
        <v>150</v>
      </c>
      <c r="F159" s="14">
        <v>14067.605299999999</v>
      </c>
      <c r="G159" s="14">
        <v>0</v>
      </c>
      <c r="H159" s="14">
        <v>0</v>
      </c>
      <c r="I159" s="14">
        <v>0</v>
      </c>
      <c r="J159" s="15">
        <v>14067.605299999999</v>
      </c>
      <c r="K159" s="18">
        <v>-1</v>
      </c>
      <c r="L159" t="s">
        <v>145</v>
      </c>
      <c r="M159" t="s">
        <v>145</v>
      </c>
    </row>
    <row r="160" spans="1:13" x14ac:dyDescent="0.25">
      <c r="A160" s="7" t="s">
        <v>1422</v>
      </c>
      <c r="B160" s="7" t="s">
        <v>1416</v>
      </c>
      <c r="C160" s="7" t="s">
        <v>304</v>
      </c>
      <c r="D160" s="7" t="s">
        <v>1424</v>
      </c>
      <c r="E160" s="7" t="s">
        <v>150</v>
      </c>
      <c r="F160" s="10">
        <v>2427.1451299999999</v>
      </c>
      <c r="G160" s="10">
        <v>1260.03</v>
      </c>
      <c r="H160" s="10">
        <v>0</v>
      </c>
      <c r="I160" s="10">
        <v>0</v>
      </c>
      <c r="J160" s="11">
        <v>3687.1751300000001</v>
      </c>
      <c r="K160" s="13">
        <v>-0.48085922657620389</v>
      </c>
      <c r="L160" s="13">
        <v>-1</v>
      </c>
      <c r="M160" s="7" t="s">
        <v>145</v>
      </c>
    </row>
    <row r="161" spans="1:13" x14ac:dyDescent="0.25">
      <c r="A161" t="s">
        <v>1426</v>
      </c>
      <c r="B161" t="s">
        <v>1416</v>
      </c>
      <c r="C161" t="s">
        <v>304</v>
      </c>
      <c r="D161" t="s">
        <v>1428</v>
      </c>
      <c r="E161" t="s">
        <v>150</v>
      </c>
      <c r="F161" s="14">
        <v>14358.12751</v>
      </c>
      <c r="G161" s="14">
        <v>0</v>
      </c>
      <c r="H161" s="14">
        <v>0</v>
      </c>
      <c r="I161" s="14">
        <v>0</v>
      </c>
      <c r="J161" s="15">
        <v>14358.12751</v>
      </c>
      <c r="K161" s="18">
        <v>-1</v>
      </c>
      <c r="L161" t="s">
        <v>145</v>
      </c>
      <c r="M161" t="s">
        <v>145</v>
      </c>
    </row>
    <row r="162" spans="1:13" x14ac:dyDescent="0.25">
      <c r="A162" s="7" t="s">
        <v>1430</v>
      </c>
      <c r="B162" s="7" t="s">
        <v>1416</v>
      </c>
      <c r="C162" s="7" t="s">
        <v>304</v>
      </c>
      <c r="D162" s="7" t="s">
        <v>1432</v>
      </c>
      <c r="E162" s="7" t="s">
        <v>150</v>
      </c>
      <c r="F162" s="10">
        <v>2427.1451299999999</v>
      </c>
      <c r="G162" s="10">
        <v>0</v>
      </c>
      <c r="H162" s="10">
        <v>0</v>
      </c>
      <c r="I162" s="10">
        <v>0</v>
      </c>
      <c r="J162" s="11">
        <v>2427.1451299999999</v>
      </c>
      <c r="K162" s="13">
        <v>-1</v>
      </c>
      <c r="L162" s="7" t="s">
        <v>145</v>
      </c>
      <c r="M162" s="7" t="s">
        <v>145</v>
      </c>
    </row>
    <row r="163" spans="1:13" x14ac:dyDescent="0.25">
      <c r="A163" t="s">
        <v>1434</v>
      </c>
      <c r="B163" t="s">
        <v>1435</v>
      </c>
      <c r="C163" t="s">
        <v>145</v>
      </c>
      <c r="D163" t="s">
        <v>539</v>
      </c>
      <c r="E163" t="s">
        <v>150</v>
      </c>
      <c r="F163" s="14">
        <v>5920.71648</v>
      </c>
      <c r="G163" s="14">
        <v>3399.9</v>
      </c>
      <c r="H163" s="14">
        <v>6203.3316000000004</v>
      </c>
      <c r="I163" s="14">
        <v>0</v>
      </c>
      <c r="J163" s="15">
        <v>15523.94808</v>
      </c>
      <c r="K163" s="18">
        <v>-0.42576206587754062</v>
      </c>
      <c r="L163" s="16">
        <v>0.82456295773405086</v>
      </c>
      <c r="M163" s="18">
        <v>-1</v>
      </c>
    </row>
    <row r="164" spans="1:13" x14ac:dyDescent="0.25">
      <c r="A164" s="7" t="s">
        <v>1443</v>
      </c>
      <c r="B164" s="7" t="s">
        <v>145</v>
      </c>
      <c r="C164" s="7" t="s">
        <v>145</v>
      </c>
      <c r="D164" s="7" t="s">
        <v>1446</v>
      </c>
      <c r="E164" s="7" t="s">
        <v>527</v>
      </c>
      <c r="F164" s="10">
        <v>0</v>
      </c>
      <c r="G164" s="10">
        <v>22017.599999999999</v>
      </c>
      <c r="H164" s="10">
        <v>0</v>
      </c>
      <c r="I164" s="10">
        <v>0</v>
      </c>
      <c r="J164" s="11">
        <v>22017.599999999999</v>
      </c>
      <c r="K164" s="12" t="s">
        <v>2479</v>
      </c>
      <c r="L164" s="13">
        <v>-1</v>
      </c>
      <c r="M164" s="7" t="s">
        <v>145</v>
      </c>
    </row>
    <row r="165" spans="1:13" x14ac:dyDescent="0.25">
      <c r="A165" t="s">
        <v>1449</v>
      </c>
      <c r="B165" t="s">
        <v>145</v>
      </c>
      <c r="C165" t="s">
        <v>1450</v>
      </c>
      <c r="D165" t="s">
        <v>183</v>
      </c>
      <c r="E165" t="s">
        <v>150</v>
      </c>
      <c r="F165" s="14">
        <v>36813.227349999986</v>
      </c>
      <c r="G165" s="14">
        <v>31336.91577</v>
      </c>
      <c r="H165" s="14">
        <v>83428.189729999998</v>
      </c>
      <c r="I165" s="14">
        <v>10684.051520000001</v>
      </c>
      <c r="J165" s="15">
        <v>162262.38437000001</v>
      </c>
      <c r="K165" s="18">
        <v>-0.14875934478480321</v>
      </c>
      <c r="L165" s="16">
        <v>1.662297411217122</v>
      </c>
      <c r="M165" s="18">
        <v>-0.87193715272287509</v>
      </c>
    </row>
    <row r="166" spans="1:13" x14ac:dyDescent="0.25">
      <c r="A166" s="7" t="s">
        <v>1455</v>
      </c>
      <c r="B166" s="7" t="s">
        <v>145</v>
      </c>
      <c r="C166" s="7" t="s">
        <v>1450</v>
      </c>
      <c r="D166" s="7" t="s">
        <v>183</v>
      </c>
      <c r="E166" s="7" t="s">
        <v>150</v>
      </c>
      <c r="F166" s="10">
        <v>7096.0071600000001</v>
      </c>
      <c r="G166" s="10">
        <v>0</v>
      </c>
      <c r="H166" s="10">
        <v>0</v>
      </c>
      <c r="I166" s="10">
        <v>0</v>
      </c>
      <c r="J166" s="11">
        <v>7096.0071600000001</v>
      </c>
      <c r="K166" s="13">
        <v>-1</v>
      </c>
      <c r="L166" s="7" t="s">
        <v>145</v>
      </c>
      <c r="M166" s="7" t="s">
        <v>145</v>
      </c>
    </row>
    <row r="167" spans="1:13" x14ac:dyDescent="0.25">
      <c r="A167" t="s">
        <v>1460</v>
      </c>
      <c r="B167" t="s">
        <v>145</v>
      </c>
      <c r="C167" t="s">
        <v>146</v>
      </c>
      <c r="D167" t="s">
        <v>221</v>
      </c>
      <c r="E167" t="s">
        <v>150</v>
      </c>
      <c r="F167" s="14">
        <v>252.76589000000001</v>
      </c>
      <c r="G167" s="14">
        <v>0</v>
      </c>
      <c r="H167" s="14">
        <v>0</v>
      </c>
      <c r="I167" s="14">
        <v>0</v>
      </c>
      <c r="J167" s="15">
        <v>252.76589000000001</v>
      </c>
      <c r="K167" s="18">
        <v>-1</v>
      </c>
      <c r="L167" t="s">
        <v>145</v>
      </c>
      <c r="M167" t="s">
        <v>145</v>
      </c>
    </row>
    <row r="168" spans="1:13" x14ac:dyDescent="0.25">
      <c r="A168" s="7" t="s">
        <v>1465</v>
      </c>
      <c r="B168" s="7" t="s">
        <v>1466</v>
      </c>
      <c r="C168" s="7" t="s">
        <v>1059</v>
      </c>
      <c r="D168" s="7"/>
      <c r="E168" s="7" t="s">
        <v>150</v>
      </c>
      <c r="F168" s="10">
        <v>2863165.3235200001</v>
      </c>
      <c r="G168" s="10">
        <v>3911475.559919999</v>
      </c>
      <c r="H168" s="10">
        <v>6342826.2720100023</v>
      </c>
      <c r="I168" s="10">
        <v>1150785.44771</v>
      </c>
      <c r="J168" s="11">
        <v>14268252.603159999</v>
      </c>
      <c r="K168" s="19">
        <v>0.3661368164068145</v>
      </c>
      <c r="L168" s="19">
        <v>0.62159424872891977</v>
      </c>
      <c r="M168" s="13">
        <v>-0.81856897881812496</v>
      </c>
    </row>
    <row r="169" spans="1:13" x14ac:dyDescent="0.25">
      <c r="A169" t="s">
        <v>1470</v>
      </c>
      <c r="B169" t="s">
        <v>1466</v>
      </c>
      <c r="C169" t="s">
        <v>145</v>
      </c>
      <c r="D169" t="s">
        <v>1473</v>
      </c>
      <c r="E169" t="s">
        <v>527</v>
      </c>
      <c r="F169" s="14">
        <v>29235.15</v>
      </c>
      <c r="G169" s="14">
        <v>25877.72</v>
      </c>
      <c r="H169" s="14">
        <v>67318.36</v>
      </c>
      <c r="I169" s="14">
        <v>11533.72</v>
      </c>
      <c r="J169" s="15">
        <v>133964.95000000001</v>
      </c>
      <c r="K169" s="18">
        <v>-0.11484223614382</v>
      </c>
      <c r="L169" s="16">
        <v>1.601402287373076</v>
      </c>
      <c r="M169" s="18">
        <v>-0.82866902877610205</v>
      </c>
    </row>
    <row r="170" spans="1:13" x14ac:dyDescent="0.25">
      <c r="A170" s="7" t="s">
        <v>1475</v>
      </c>
      <c r="B170" s="7" t="s">
        <v>1466</v>
      </c>
      <c r="C170" s="7" t="s">
        <v>145</v>
      </c>
      <c r="D170" s="7" t="s">
        <v>1477</v>
      </c>
      <c r="E170" s="7" t="s">
        <v>150</v>
      </c>
      <c r="F170" s="10">
        <v>0</v>
      </c>
      <c r="G170" s="10">
        <v>186787.35613</v>
      </c>
      <c r="H170" s="10">
        <v>1014095.17097</v>
      </c>
      <c r="I170" s="10">
        <v>160739.33562999999</v>
      </c>
      <c r="J170" s="11">
        <v>1361621.8627299999</v>
      </c>
      <c r="K170" s="12" t="s">
        <v>2479</v>
      </c>
      <c r="L170" s="19">
        <v>4.4291424857698161</v>
      </c>
      <c r="M170" s="13">
        <v>-0.84149482195418601</v>
      </c>
    </row>
    <row r="171" spans="1:13" x14ac:dyDescent="0.25">
      <c r="A171" t="s">
        <v>1491</v>
      </c>
      <c r="B171" t="s">
        <v>145</v>
      </c>
      <c r="C171" t="s">
        <v>287</v>
      </c>
      <c r="D171" t="s">
        <v>183</v>
      </c>
      <c r="E171" t="s">
        <v>150</v>
      </c>
      <c r="F171" s="14">
        <v>126324.61632</v>
      </c>
      <c r="G171" s="14">
        <v>442297.96</v>
      </c>
      <c r="H171" s="14">
        <v>5594.1881199999998</v>
      </c>
      <c r="I171" s="14">
        <v>1554.01784</v>
      </c>
      <c r="J171" s="15">
        <v>575770.78227999993</v>
      </c>
      <c r="K171" s="16">
        <v>2.5012808499618968</v>
      </c>
      <c r="L171" s="18">
        <v>-0.98735199203722301</v>
      </c>
      <c r="M171" s="18">
        <v>-0.72220851235871564</v>
      </c>
    </row>
    <row r="172" spans="1:13" x14ac:dyDescent="0.25">
      <c r="A172" s="7" t="s">
        <v>1498</v>
      </c>
      <c r="B172" s="7" t="s">
        <v>145</v>
      </c>
      <c r="C172" s="7" t="s">
        <v>304</v>
      </c>
      <c r="D172" s="7" t="s">
        <v>502</v>
      </c>
      <c r="E172" s="7" t="s">
        <v>150</v>
      </c>
      <c r="F172" s="10">
        <v>1744.6327799999999</v>
      </c>
      <c r="G172" s="10">
        <v>0</v>
      </c>
      <c r="H172" s="10">
        <v>0</v>
      </c>
      <c r="I172" s="10">
        <v>0</v>
      </c>
      <c r="J172" s="11">
        <v>1744.6327799999999</v>
      </c>
      <c r="K172" s="13">
        <v>-1</v>
      </c>
      <c r="L172" s="7" t="s">
        <v>145</v>
      </c>
      <c r="M172" s="7" t="s">
        <v>145</v>
      </c>
    </row>
    <row r="173" spans="1:13" x14ac:dyDescent="0.25">
      <c r="A173" t="s">
        <v>1503</v>
      </c>
      <c r="B173" t="s">
        <v>145</v>
      </c>
      <c r="C173" t="s">
        <v>145</v>
      </c>
      <c r="D173" t="s">
        <v>1506</v>
      </c>
      <c r="E173" t="s">
        <v>215</v>
      </c>
      <c r="F173" s="14">
        <v>0</v>
      </c>
      <c r="G173" s="14">
        <v>0</v>
      </c>
      <c r="H173" s="14">
        <v>16627.68</v>
      </c>
      <c r="I173" s="14">
        <v>0</v>
      </c>
      <c r="J173" s="15">
        <v>16627.68</v>
      </c>
      <c r="K173" t="s">
        <v>145</v>
      </c>
      <c r="L173" s="21" t="s">
        <v>2479</v>
      </c>
      <c r="M173" s="18">
        <v>-1</v>
      </c>
    </row>
    <row r="174" spans="1:13" x14ac:dyDescent="0.25">
      <c r="A174" s="7" t="s">
        <v>1533</v>
      </c>
      <c r="B174" s="7" t="s">
        <v>145</v>
      </c>
      <c r="C174" s="7" t="s">
        <v>145</v>
      </c>
      <c r="D174" s="7" t="s">
        <v>1536</v>
      </c>
      <c r="E174" s="7" t="s">
        <v>215</v>
      </c>
      <c r="F174" s="10">
        <v>0</v>
      </c>
      <c r="G174" s="10">
        <v>77157.109400000001</v>
      </c>
      <c r="H174" s="10">
        <v>83746.241679999992</v>
      </c>
      <c r="I174" s="10">
        <v>0</v>
      </c>
      <c r="J174" s="11">
        <v>160903.35107999999</v>
      </c>
      <c r="K174" s="12" t="s">
        <v>2479</v>
      </c>
      <c r="L174" s="19">
        <v>8.5398900130387603E-2</v>
      </c>
      <c r="M174" s="13">
        <v>-1</v>
      </c>
    </row>
    <row r="175" spans="1:13" x14ac:dyDescent="0.25">
      <c r="A175" t="s">
        <v>1539</v>
      </c>
      <c r="B175" t="s">
        <v>145</v>
      </c>
      <c r="C175" t="s">
        <v>346</v>
      </c>
      <c r="D175" t="s">
        <v>323</v>
      </c>
      <c r="E175" t="s">
        <v>150</v>
      </c>
      <c r="F175" s="14">
        <v>208646.58572999999</v>
      </c>
      <c r="G175" s="14">
        <v>33292.364699999998</v>
      </c>
      <c r="H175" s="14">
        <v>0</v>
      </c>
      <c r="I175" s="14">
        <v>0</v>
      </c>
      <c r="J175" s="15">
        <v>241938.95043</v>
      </c>
      <c r="K175" s="18">
        <v>-0.84043657084769108</v>
      </c>
      <c r="L175" s="18">
        <v>-1</v>
      </c>
      <c r="M175" t="s">
        <v>145</v>
      </c>
    </row>
    <row r="176" spans="1:13" x14ac:dyDescent="0.25">
      <c r="A176" s="7" t="s">
        <v>1559</v>
      </c>
      <c r="B176" s="7" t="s">
        <v>145</v>
      </c>
      <c r="C176" s="7" t="s">
        <v>145</v>
      </c>
      <c r="D176" s="7" t="s">
        <v>149</v>
      </c>
      <c r="E176" s="7" t="s">
        <v>150</v>
      </c>
      <c r="F176" s="10">
        <v>28407.911469999999</v>
      </c>
      <c r="G176" s="10">
        <v>13667.391680000001</v>
      </c>
      <c r="H176" s="10">
        <v>0</v>
      </c>
      <c r="I176" s="10">
        <v>0</v>
      </c>
      <c r="J176" s="11">
        <v>42075.30315</v>
      </c>
      <c r="K176" s="13">
        <v>-0.51888783888835455</v>
      </c>
      <c r="L176" s="13">
        <v>-1</v>
      </c>
      <c r="M176" s="7" t="s">
        <v>145</v>
      </c>
    </row>
    <row r="177" spans="1:13" x14ac:dyDescent="0.25">
      <c r="A177" t="s">
        <v>1564</v>
      </c>
      <c r="B177" t="s">
        <v>145</v>
      </c>
      <c r="C177" t="s">
        <v>145</v>
      </c>
      <c r="D177" t="s">
        <v>851</v>
      </c>
      <c r="E177" t="s">
        <v>150</v>
      </c>
      <c r="F177" s="14">
        <v>0</v>
      </c>
      <c r="G177" s="14">
        <v>14657.284960000001</v>
      </c>
      <c r="H177" s="14">
        <v>16323.556560000001</v>
      </c>
      <c r="I177" s="14">
        <v>2656.5225599999999</v>
      </c>
      <c r="J177" s="15">
        <v>33637.364079999999</v>
      </c>
      <c r="K177" s="21" t="s">
        <v>2479</v>
      </c>
      <c r="L177" s="16">
        <v>0.113682145400549</v>
      </c>
      <c r="M177" s="18">
        <v>-0.83725834806676469</v>
      </c>
    </row>
    <row r="178" spans="1:13" x14ac:dyDescent="0.25">
      <c r="A178" s="7" t="s">
        <v>1568</v>
      </c>
      <c r="B178" s="7" t="s">
        <v>145</v>
      </c>
      <c r="C178" s="7" t="s">
        <v>417</v>
      </c>
      <c r="D178" s="7" t="s">
        <v>183</v>
      </c>
      <c r="E178" s="7" t="s">
        <v>150</v>
      </c>
      <c r="F178" s="10">
        <v>4350.38166</v>
      </c>
      <c r="G178" s="10">
        <v>1313.4417599999999</v>
      </c>
      <c r="H178" s="10">
        <v>0</v>
      </c>
      <c r="I178" s="10">
        <v>0</v>
      </c>
      <c r="J178" s="11">
        <v>5663.8234199999997</v>
      </c>
      <c r="K178" s="13">
        <v>-0.69808585483968788</v>
      </c>
      <c r="L178" s="13">
        <v>-1</v>
      </c>
      <c r="M178" s="7" t="s">
        <v>145</v>
      </c>
    </row>
    <row r="179" spans="1:13" x14ac:dyDescent="0.25">
      <c r="A179" t="s">
        <v>1573</v>
      </c>
      <c r="B179" t="s">
        <v>145</v>
      </c>
      <c r="C179" t="s">
        <v>146</v>
      </c>
      <c r="D179" t="s">
        <v>149</v>
      </c>
      <c r="E179" t="s">
        <v>150</v>
      </c>
      <c r="F179" s="14">
        <v>3602.8227200000001</v>
      </c>
      <c r="G179" s="14">
        <v>10808.46816</v>
      </c>
      <c r="H179" s="14">
        <v>14415.179239999999</v>
      </c>
      <c r="I179" s="14">
        <v>4110.0340800000004</v>
      </c>
      <c r="J179" s="15">
        <v>32936.504200000003</v>
      </c>
      <c r="K179" s="16">
        <v>2</v>
      </c>
      <c r="L179" s="16">
        <v>0.33369308458970393</v>
      </c>
      <c r="M179" s="18">
        <v>-0.71488151402271427</v>
      </c>
    </row>
    <row r="180" spans="1:13" x14ac:dyDescent="0.25">
      <c r="A180" s="7" t="s">
        <v>1577</v>
      </c>
      <c r="B180" s="7" t="s">
        <v>145</v>
      </c>
      <c r="C180" s="7" t="s">
        <v>145</v>
      </c>
      <c r="D180" s="7" t="s">
        <v>149</v>
      </c>
      <c r="E180" s="7" t="s">
        <v>150</v>
      </c>
      <c r="F180" s="10">
        <v>0</v>
      </c>
      <c r="G180" s="10">
        <v>0</v>
      </c>
      <c r="H180" s="10">
        <v>91250.05588</v>
      </c>
      <c r="I180" s="10">
        <v>31325.31712</v>
      </c>
      <c r="J180" s="11">
        <v>122575.37300000001</v>
      </c>
      <c r="K180" s="7" t="s">
        <v>145</v>
      </c>
      <c r="L180" s="12" t="s">
        <v>2479</v>
      </c>
      <c r="M180" s="13">
        <v>-0.65670906370517834</v>
      </c>
    </row>
    <row r="181" spans="1:13" x14ac:dyDescent="0.25">
      <c r="A181" t="s">
        <v>1584</v>
      </c>
      <c r="B181" t="s">
        <v>145</v>
      </c>
      <c r="C181" t="s">
        <v>1585</v>
      </c>
      <c r="D181" t="s">
        <v>183</v>
      </c>
      <c r="E181" t="s">
        <v>150</v>
      </c>
      <c r="F181" s="14">
        <v>1911.97</v>
      </c>
      <c r="G181" s="14">
        <v>0</v>
      </c>
      <c r="H181" s="14">
        <v>0</v>
      </c>
      <c r="I181" s="14">
        <v>0</v>
      </c>
      <c r="J181" s="15">
        <v>1911.97</v>
      </c>
      <c r="K181" s="18">
        <v>-1</v>
      </c>
      <c r="L181" t="s">
        <v>145</v>
      </c>
      <c r="M181" t="s">
        <v>145</v>
      </c>
    </row>
    <row r="182" spans="1:13" x14ac:dyDescent="0.25">
      <c r="A182" s="7" t="s">
        <v>2481</v>
      </c>
      <c r="B182" s="7" t="s">
        <v>145</v>
      </c>
      <c r="C182" s="7" t="s">
        <v>346</v>
      </c>
      <c r="D182" s="7"/>
      <c r="E182" s="7" t="s">
        <v>215</v>
      </c>
      <c r="F182" s="10">
        <v>143181.52653999999</v>
      </c>
      <c r="G182" s="10">
        <v>0</v>
      </c>
      <c r="H182" s="10">
        <v>0</v>
      </c>
      <c r="I182" s="10">
        <v>0</v>
      </c>
      <c r="J182" s="11">
        <v>143181.52653999999</v>
      </c>
      <c r="K182" s="13">
        <v>-1</v>
      </c>
      <c r="L182" s="7" t="s">
        <v>145</v>
      </c>
      <c r="M182" s="7" t="s">
        <v>145</v>
      </c>
    </row>
    <row r="183" spans="1:13" x14ac:dyDescent="0.25">
      <c r="A183" t="s">
        <v>1595</v>
      </c>
      <c r="B183" t="s">
        <v>145</v>
      </c>
      <c r="C183" t="s">
        <v>639</v>
      </c>
      <c r="D183" t="s">
        <v>221</v>
      </c>
      <c r="E183" t="s">
        <v>150</v>
      </c>
      <c r="F183" s="14">
        <v>2436.09854</v>
      </c>
      <c r="G183" s="14">
        <v>2621.1288800000002</v>
      </c>
      <c r="H183" s="14">
        <v>4348.8571200000006</v>
      </c>
      <c r="I183" s="14">
        <v>0</v>
      </c>
      <c r="J183" s="15">
        <v>9406.0845399999998</v>
      </c>
      <c r="K183" s="16">
        <v>7.5953553176055122E-2</v>
      </c>
      <c r="L183" s="16">
        <v>0.65915424959950852</v>
      </c>
      <c r="M183" s="18">
        <v>-1</v>
      </c>
    </row>
    <row r="184" spans="1:13" x14ac:dyDescent="0.25">
      <c r="A184" s="7" t="s">
        <v>1600</v>
      </c>
      <c r="B184" s="7" t="s">
        <v>145</v>
      </c>
      <c r="C184" s="7" t="s">
        <v>346</v>
      </c>
      <c r="D184" s="7" t="s">
        <v>1056</v>
      </c>
      <c r="E184" s="7" t="s">
        <v>150</v>
      </c>
      <c r="F184" s="10">
        <v>102343.50033</v>
      </c>
      <c r="G184" s="10">
        <v>1774611.47438</v>
      </c>
      <c r="H184" s="10">
        <v>184376.46074000001</v>
      </c>
      <c r="I184" s="10">
        <v>0</v>
      </c>
      <c r="J184" s="11">
        <v>2061331.43545</v>
      </c>
      <c r="K184" s="19">
        <v>16.33975747026318</v>
      </c>
      <c r="L184" s="13">
        <v>-0.89610319588155707</v>
      </c>
      <c r="M184" s="13">
        <v>-1</v>
      </c>
    </row>
    <row r="185" spans="1:13" x14ac:dyDescent="0.25">
      <c r="A185" t="s">
        <v>1614</v>
      </c>
      <c r="B185" t="s">
        <v>1615</v>
      </c>
      <c r="C185" t="s">
        <v>304</v>
      </c>
      <c r="D185" t="s">
        <v>1237</v>
      </c>
      <c r="E185" t="s">
        <v>150</v>
      </c>
      <c r="F185" s="14">
        <v>91986.501219999991</v>
      </c>
      <c r="G185" s="14">
        <v>56381.071250000001</v>
      </c>
      <c r="H185" s="14">
        <v>16947.708589999998</v>
      </c>
      <c r="I185" s="14">
        <v>1955.7</v>
      </c>
      <c r="J185" s="15">
        <v>167270.98105999999</v>
      </c>
      <c r="K185" s="18">
        <v>-0.38707233667735752</v>
      </c>
      <c r="L185" s="18">
        <v>-0.6994078293608158</v>
      </c>
      <c r="M185" s="18">
        <v>-0.88460386903548938</v>
      </c>
    </row>
    <row r="186" spans="1:13" x14ac:dyDescent="0.25">
      <c r="A186" s="7" t="s">
        <v>1625</v>
      </c>
      <c r="B186" s="7" t="s">
        <v>145</v>
      </c>
      <c r="C186" s="7" t="s">
        <v>145</v>
      </c>
      <c r="D186" s="7" t="s">
        <v>1628</v>
      </c>
      <c r="E186" s="7" t="s">
        <v>150</v>
      </c>
      <c r="F186" s="10">
        <v>0</v>
      </c>
      <c r="G186" s="10">
        <v>1818.0362500000001</v>
      </c>
      <c r="H186" s="10">
        <v>0</v>
      </c>
      <c r="I186" s="10">
        <v>0</v>
      </c>
      <c r="J186" s="11">
        <v>1818.0362500000001</v>
      </c>
      <c r="K186" s="12" t="s">
        <v>2479</v>
      </c>
      <c r="L186" s="13">
        <v>-1</v>
      </c>
      <c r="M186" s="7" t="s">
        <v>145</v>
      </c>
    </row>
    <row r="187" spans="1:13" x14ac:dyDescent="0.25">
      <c r="A187" t="s">
        <v>1636</v>
      </c>
      <c r="B187" t="s">
        <v>1637</v>
      </c>
      <c r="C187" t="s">
        <v>145</v>
      </c>
      <c r="D187" t="s">
        <v>1640</v>
      </c>
      <c r="E187" t="s">
        <v>150</v>
      </c>
      <c r="F187" s="14">
        <v>0</v>
      </c>
      <c r="G187" s="14">
        <v>5060.2509700000001</v>
      </c>
      <c r="H187" s="14">
        <v>0</v>
      </c>
      <c r="I187" s="14">
        <v>0</v>
      </c>
      <c r="J187" s="15">
        <v>5060.2509700000001</v>
      </c>
      <c r="K187" s="21" t="s">
        <v>2479</v>
      </c>
      <c r="L187" s="18">
        <v>-1</v>
      </c>
      <c r="M187" t="s">
        <v>145</v>
      </c>
    </row>
    <row r="188" spans="1:13" x14ac:dyDescent="0.25">
      <c r="A188" s="7" t="s">
        <v>1643</v>
      </c>
      <c r="B188" s="7" t="s">
        <v>1637</v>
      </c>
      <c r="C188" s="7" t="s">
        <v>145</v>
      </c>
      <c r="D188" s="7" t="s">
        <v>1645</v>
      </c>
      <c r="E188" s="7" t="s">
        <v>150</v>
      </c>
      <c r="F188" s="10">
        <v>0</v>
      </c>
      <c r="G188" s="10">
        <v>0</v>
      </c>
      <c r="H188" s="10">
        <v>1272.0535199999999</v>
      </c>
      <c r="I188" s="10">
        <v>0</v>
      </c>
      <c r="J188" s="11">
        <v>1272.0535199999999</v>
      </c>
      <c r="K188" s="7" t="s">
        <v>145</v>
      </c>
      <c r="L188" s="12" t="s">
        <v>2479</v>
      </c>
      <c r="M188" s="13">
        <v>-1</v>
      </c>
    </row>
    <row r="189" spans="1:13" x14ac:dyDescent="0.25">
      <c r="A189" t="s">
        <v>1650</v>
      </c>
      <c r="B189" t="s">
        <v>1637</v>
      </c>
      <c r="C189" t="s">
        <v>145</v>
      </c>
      <c r="D189" t="s">
        <v>1652</v>
      </c>
      <c r="E189" t="s">
        <v>150</v>
      </c>
      <c r="F189" s="14">
        <v>0</v>
      </c>
      <c r="G189" s="14">
        <v>9115.7438999999995</v>
      </c>
      <c r="H189" s="14">
        <v>0</v>
      </c>
      <c r="I189" s="14">
        <v>0</v>
      </c>
      <c r="J189" s="15">
        <v>9115.7438999999995</v>
      </c>
      <c r="K189" s="21" t="s">
        <v>2479</v>
      </c>
      <c r="L189" s="18">
        <v>-1</v>
      </c>
      <c r="M189" t="s">
        <v>145</v>
      </c>
    </row>
    <row r="190" spans="1:13" x14ac:dyDescent="0.25">
      <c r="A190" s="7" t="s">
        <v>1653</v>
      </c>
      <c r="B190" s="7" t="s">
        <v>1637</v>
      </c>
      <c r="C190" s="7" t="s">
        <v>145</v>
      </c>
      <c r="D190" s="7" t="s">
        <v>1649</v>
      </c>
      <c r="E190" s="7" t="s">
        <v>150</v>
      </c>
      <c r="F190" s="10">
        <v>0</v>
      </c>
      <c r="G190" s="10">
        <v>5164.7124600000006</v>
      </c>
      <c r="H190" s="10">
        <v>1291.66632</v>
      </c>
      <c r="I190" s="10">
        <v>0</v>
      </c>
      <c r="J190" s="11">
        <v>6456.3787800000009</v>
      </c>
      <c r="K190" s="12" t="s">
        <v>2479</v>
      </c>
      <c r="L190" s="13">
        <v>-0.74990547295637822</v>
      </c>
      <c r="M190" s="13">
        <v>-1</v>
      </c>
    </row>
    <row r="191" spans="1:13" x14ac:dyDescent="0.25">
      <c r="A191" t="s">
        <v>1655</v>
      </c>
      <c r="B191" t="s">
        <v>1637</v>
      </c>
      <c r="C191" t="s">
        <v>145</v>
      </c>
      <c r="D191" t="s">
        <v>1640</v>
      </c>
      <c r="E191" t="s">
        <v>150</v>
      </c>
      <c r="F191" s="14">
        <v>0</v>
      </c>
      <c r="G191" s="14">
        <v>43282.565189999987</v>
      </c>
      <c r="H191" s="14">
        <v>6965.3138399999998</v>
      </c>
      <c r="I191" s="14">
        <v>0</v>
      </c>
      <c r="J191" s="15">
        <v>50247.879029999996</v>
      </c>
      <c r="K191" s="21" t="s">
        <v>2479</v>
      </c>
      <c r="L191" s="18">
        <v>-0.83907345118238807</v>
      </c>
      <c r="M191" s="18">
        <v>-1</v>
      </c>
    </row>
    <row r="192" spans="1:13" x14ac:dyDescent="0.25">
      <c r="A192" s="7" t="s">
        <v>1657</v>
      </c>
      <c r="B192" s="7" t="s">
        <v>1637</v>
      </c>
      <c r="C192" s="7" t="s">
        <v>145</v>
      </c>
      <c r="D192" s="7" t="s">
        <v>1640</v>
      </c>
      <c r="E192" s="7" t="s">
        <v>150</v>
      </c>
      <c r="F192" s="10">
        <v>0</v>
      </c>
      <c r="G192" s="10">
        <v>9763.5438599999998</v>
      </c>
      <c r="H192" s="10">
        <v>4980.9681600000004</v>
      </c>
      <c r="I192" s="10">
        <v>0</v>
      </c>
      <c r="J192" s="11">
        <v>14744.51202</v>
      </c>
      <c r="K192" s="12" t="s">
        <v>2479</v>
      </c>
      <c r="L192" s="13">
        <v>-0.48984014089326777</v>
      </c>
      <c r="M192" s="13">
        <v>-1</v>
      </c>
    </row>
    <row r="193" spans="1:13" x14ac:dyDescent="0.25">
      <c r="A193" t="s">
        <v>1660</v>
      </c>
      <c r="B193" t="s">
        <v>1661</v>
      </c>
      <c r="C193" t="s">
        <v>145</v>
      </c>
      <c r="D193" t="s">
        <v>603</v>
      </c>
      <c r="E193" t="s">
        <v>150</v>
      </c>
      <c r="F193" s="14">
        <v>88502.399999999994</v>
      </c>
      <c r="G193" s="14">
        <v>0</v>
      </c>
      <c r="H193" s="14">
        <v>0</v>
      </c>
      <c r="I193" s="14">
        <v>0</v>
      </c>
      <c r="J193" s="15">
        <v>88502.399999999994</v>
      </c>
      <c r="K193" s="18">
        <v>-1</v>
      </c>
      <c r="L193" t="s">
        <v>145</v>
      </c>
      <c r="M193" t="s">
        <v>145</v>
      </c>
    </row>
    <row r="194" spans="1:13" x14ac:dyDescent="0.25">
      <c r="A194" s="7" t="s">
        <v>1666</v>
      </c>
      <c r="B194" s="7" t="s">
        <v>1661</v>
      </c>
      <c r="C194" s="7" t="s">
        <v>46</v>
      </c>
      <c r="D194" s="7" t="s">
        <v>149</v>
      </c>
      <c r="E194" s="7" t="s">
        <v>150</v>
      </c>
      <c r="F194" s="10">
        <v>993731</v>
      </c>
      <c r="G194" s="10">
        <v>509001.96</v>
      </c>
      <c r="H194" s="10">
        <v>340804.16</v>
      </c>
      <c r="I194" s="10">
        <v>0</v>
      </c>
      <c r="J194" s="11">
        <v>1843537.12</v>
      </c>
      <c r="K194" s="13">
        <v>-0.48778697655602971</v>
      </c>
      <c r="L194" s="13">
        <v>-0.33044627175895358</v>
      </c>
      <c r="M194" s="13">
        <v>-1</v>
      </c>
    </row>
    <row r="195" spans="1:13" x14ac:dyDescent="0.25">
      <c r="A195" t="s">
        <v>1668</v>
      </c>
      <c r="B195" t="s">
        <v>145</v>
      </c>
      <c r="C195" t="s">
        <v>1669</v>
      </c>
      <c r="E195" t="s">
        <v>150</v>
      </c>
      <c r="F195" s="14">
        <v>58623.360960000013</v>
      </c>
      <c r="G195" s="14">
        <v>64739.477279999999</v>
      </c>
      <c r="H195" s="14">
        <v>14712.964480000001</v>
      </c>
      <c r="I195" s="14">
        <v>0</v>
      </c>
      <c r="J195" s="15">
        <v>138075.80272000001</v>
      </c>
      <c r="K195" s="16">
        <v>0.1043289947871319</v>
      </c>
      <c r="L195" s="18">
        <v>-0.77273581594787932</v>
      </c>
      <c r="M195" s="18">
        <v>-1</v>
      </c>
    </row>
    <row r="196" spans="1:13" x14ac:dyDescent="0.25">
      <c r="A196" s="7" t="s">
        <v>1694</v>
      </c>
      <c r="B196" s="7" t="s">
        <v>145</v>
      </c>
      <c r="C196" s="7" t="s">
        <v>639</v>
      </c>
      <c r="D196" s="7" t="s">
        <v>198</v>
      </c>
      <c r="E196" s="7" t="s">
        <v>150</v>
      </c>
      <c r="F196" s="10">
        <v>114080.45136000001</v>
      </c>
      <c r="G196" s="10">
        <v>51606.368799999997</v>
      </c>
      <c r="H196" s="10">
        <v>7377.4001600000001</v>
      </c>
      <c r="I196" s="10">
        <v>0</v>
      </c>
      <c r="J196" s="11">
        <v>173064.22031999999</v>
      </c>
      <c r="K196" s="13">
        <v>-0.54763179681725271</v>
      </c>
      <c r="L196" s="13">
        <v>-0.85704477312497918</v>
      </c>
      <c r="M196" s="13">
        <v>-1</v>
      </c>
    </row>
    <row r="197" spans="1:13" x14ac:dyDescent="0.25">
      <c r="A197" t="s">
        <v>1699</v>
      </c>
      <c r="B197" t="s">
        <v>145</v>
      </c>
      <c r="C197" t="s">
        <v>287</v>
      </c>
      <c r="D197" t="s">
        <v>1056</v>
      </c>
      <c r="E197" t="s">
        <v>150</v>
      </c>
      <c r="F197" s="14">
        <v>7388.7839999999997</v>
      </c>
      <c r="G197" s="14">
        <v>73389.365669999999</v>
      </c>
      <c r="H197" s="14">
        <v>183337.43018</v>
      </c>
      <c r="I197" s="14">
        <v>23987.322</v>
      </c>
      <c r="J197" s="15">
        <v>288102.90185000002</v>
      </c>
      <c r="K197" s="16">
        <v>8.9325363510423372</v>
      </c>
      <c r="L197" s="16">
        <v>1.4981470885630559</v>
      </c>
      <c r="M197" s="18">
        <v>-0.86916298555919913</v>
      </c>
    </row>
    <row r="198" spans="1:13" x14ac:dyDescent="0.25">
      <c r="A198" s="7" t="s">
        <v>1710</v>
      </c>
      <c r="B198" s="7" t="s">
        <v>1705</v>
      </c>
      <c r="C198" s="7" t="s">
        <v>304</v>
      </c>
      <c r="D198" s="7" t="s">
        <v>868</v>
      </c>
      <c r="E198" s="7" t="s">
        <v>150</v>
      </c>
      <c r="F198" s="10">
        <v>10347.5568</v>
      </c>
      <c r="G198" s="10">
        <v>372.64319999999998</v>
      </c>
      <c r="H198" s="10">
        <v>0</v>
      </c>
      <c r="I198" s="10">
        <v>0</v>
      </c>
      <c r="J198" s="11">
        <v>10720.2</v>
      </c>
      <c r="K198" s="13">
        <v>-0.96398732500796702</v>
      </c>
      <c r="L198" s="13">
        <v>-1</v>
      </c>
      <c r="M198" s="7" t="s">
        <v>145</v>
      </c>
    </row>
    <row r="199" spans="1:13" x14ac:dyDescent="0.25">
      <c r="A199" t="s">
        <v>1722</v>
      </c>
      <c r="B199" t="s">
        <v>145</v>
      </c>
      <c r="C199" t="s">
        <v>145</v>
      </c>
      <c r="D199" t="s">
        <v>183</v>
      </c>
      <c r="E199" t="s">
        <v>150</v>
      </c>
      <c r="F199" s="14">
        <v>0</v>
      </c>
      <c r="G199" s="14">
        <v>0</v>
      </c>
      <c r="H199" s="14">
        <v>2840.0617200000002</v>
      </c>
      <c r="I199" s="14">
        <v>4370.7633599999999</v>
      </c>
      <c r="J199" s="15">
        <v>7210.8250800000014</v>
      </c>
      <c r="K199" t="s">
        <v>145</v>
      </c>
      <c r="L199" s="21" t="s">
        <v>2479</v>
      </c>
      <c r="M199" s="16">
        <v>0.5389677376448001</v>
      </c>
    </row>
    <row r="200" spans="1:13" x14ac:dyDescent="0.25">
      <c r="A200" s="7" t="s">
        <v>1727</v>
      </c>
      <c r="B200" s="7" t="s">
        <v>595</v>
      </c>
      <c r="C200" s="7" t="s">
        <v>145</v>
      </c>
      <c r="D200" s="7" t="s">
        <v>1729</v>
      </c>
      <c r="E200" s="7" t="s">
        <v>150</v>
      </c>
      <c r="F200" s="10">
        <v>170559.19889999999</v>
      </c>
      <c r="G200" s="10">
        <v>71584.179669999998</v>
      </c>
      <c r="H200" s="10">
        <v>0</v>
      </c>
      <c r="I200" s="10">
        <v>0</v>
      </c>
      <c r="J200" s="11">
        <v>242143.37857</v>
      </c>
      <c r="K200" s="13">
        <v>-0.58029716291074818</v>
      </c>
      <c r="L200" s="13">
        <v>-1</v>
      </c>
      <c r="M200" s="7" t="s">
        <v>145</v>
      </c>
    </row>
    <row r="201" spans="1:13" x14ac:dyDescent="0.25">
      <c r="A201" t="s">
        <v>1731</v>
      </c>
      <c r="B201" t="s">
        <v>595</v>
      </c>
      <c r="C201" t="s">
        <v>145</v>
      </c>
      <c r="D201" t="s">
        <v>603</v>
      </c>
      <c r="E201" t="s">
        <v>150</v>
      </c>
      <c r="F201" s="14">
        <v>0</v>
      </c>
      <c r="G201" s="14">
        <v>0</v>
      </c>
      <c r="H201" s="14">
        <v>16965.749260000001</v>
      </c>
      <c r="I201" s="14">
        <v>849.05777999999998</v>
      </c>
      <c r="J201" s="15">
        <v>17814.80704</v>
      </c>
      <c r="K201" t="s">
        <v>145</v>
      </c>
      <c r="L201" s="21" t="s">
        <v>2479</v>
      </c>
      <c r="M201" s="18">
        <v>-0.94995459575712249</v>
      </c>
    </row>
    <row r="202" spans="1:13" x14ac:dyDescent="0.25">
      <c r="A202" s="7" t="s">
        <v>1733</v>
      </c>
      <c r="B202" s="7" t="s">
        <v>1734</v>
      </c>
      <c r="C202" s="7" t="s">
        <v>304</v>
      </c>
      <c r="D202" s="7" t="s">
        <v>751</v>
      </c>
      <c r="E202" s="7" t="s">
        <v>150</v>
      </c>
      <c r="F202" s="10">
        <v>94761.915030000004</v>
      </c>
      <c r="G202" s="10">
        <v>166760.76303000009</v>
      </c>
      <c r="H202" s="10">
        <v>204944.30147999999</v>
      </c>
      <c r="I202" s="10">
        <v>79528.815799999997</v>
      </c>
      <c r="J202" s="11">
        <v>545995.79534000007</v>
      </c>
      <c r="K202" s="19">
        <v>0.759786755862906</v>
      </c>
      <c r="L202" s="19">
        <v>0.22897195812860821</v>
      </c>
      <c r="M202" s="13">
        <v>-0.61194912361219755</v>
      </c>
    </row>
    <row r="203" spans="1:13" x14ac:dyDescent="0.25">
      <c r="A203" t="s">
        <v>1739</v>
      </c>
      <c r="B203" t="s">
        <v>1734</v>
      </c>
      <c r="C203" t="s">
        <v>304</v>
      </c>
      <c r="D203" t="s">
        <v>936</v>
      </c>
      <c r="E203" t="s">
        <v>150</v>
      </c>
      <c r="F203" s="14">
        <v>13503.19454</v>
      </c>
      <c r="G203" s="14">
        <v>25540.35268</v>
      </c>
      <c r="H203" s="14">
        <v>27103.581109999999</v>
      </c>
      <c r="I203" s="14">
        <v>9712.6044099999999</v>
      </c>
      <c r="J203" s="15">
        <v>75859.732739999992</v>
      </c>
      <c r="K203" s="16">
        <v>0.89143040221651126</v>
      </c>
      <c r="L203" s="16">
        <v>6.1206219412315757E-2</v>
      </c>
      <c r="M203" s="18">
        <v>-0.64164866736312987</v>
      </c>
    </row>
    <row r="204" spans="1:13" x14ac:dyDescent="0.25">
      <c r="A204" s="7" t="s">
        <v>1741</v>
      </c>
      <c r="B204" s="7" t="s">
        <v>1734</v>
      </c>
      <c r="C204" s="7" t="s">
        <v>304</v>
      </c>
      <c r="D204" s="7" t="s">
        <v>936</v>
      </c>
      <c r="E204" s="7" t="s">
        <v>150</v>
      </c>
      <c r="F204" s="10">
        <v>1384.8206399999999</v>
      </c>
      <c r="G204" s="10">
        <v>6565.3792200000007</v>
      </c>
      <c r="H204" s="10">
        <v>6426.1274599999997</v>
      </c>
      <c r="I204" s="10">
        <v>2426.4782399999999</v>
      </c>
      <c r="J204" s="11">
        <v>16802.805560000001</v>
      </c>
      <c r="K204" s="19">
        <v>3.7409599700940341</v>
      </c>
      <c r="L204" s="20">
        <v>-2.1210010166023741E-2</v>
      </c>
      <c r="M204" s="13">
        <v>-0.62240427767674567</v>
      </c>
    </row>
    <row r="205" spans="1:13" x14ac:dyDescent="0.25">
      <c r="A205" t="s">
        <v>1745</v>
      </c>
      <c r="B205" t="s">
        <v>1123</v>
      </c>
      <c r="C205" t="s">
        <v>145</v>
      </c>
      <c r="D205" t="s">
        <v>466</v>
      </c>
      <c r="E205" t="s">
        <v>150</v>
      </c>
      <c r="F205" s="14">
        <v>0</v>
      </c>
      <c r="G205" s="14">
        <v>8658.1634799999993</v>
      </c>
      <c r="H205" s="14">
        <v>1182.19706</v>
      </c>
      <c r="I205" s="14">
        <v>0</v>
      </c>
      <c r="J205" s="15">
        <v>9840.3605399999997</v>
      </c>
      <c r="K205" s="21" t="s">
        <v>2479</v>
      </c>
      <c r="L205" s="18">
        <v>-0.86345868119367031</v>
      </c>
      <c r="M205" s="18">
        <v>-1</v>
      </c>
    </row>
    <row r="206" spans="1:13" x14ac:dyDescent="0.25">
      <c r="A206" s="7" t="s">
        <v>1747</v>
      </c>
      <c r="B206" s="7" t="s">
        <v>145</v>
      </c>
      <c r="C206" s="7" t="s">
        <v>287</v>
      </c>
      <c r="D206" s="7" t="s">
        <v>1056</v>
      </c>
      <c r="E206" s="7" t="s">
        <v>150</v>
      </c>
      <c r="F206" s="10">
        <v>110154.53774</v>
      </c>
      <c r="G206" s="10">
        <v>55910.007389999999</v>
      </c>
      <c r="H206" s="10">
        <v>449130.68736999988</v>
      </c>
      <c r="I206" s="10">
        <v>55490.342879999997</v>
      </c>
      <c r="J206" s="11">
        <v>670685.57537999994</v>
      </c>
      <c r="K206" s="13">
        <v>-0.4924402703957097</v>
      </c>
      <c r="L206" s="19">
        <v>7.0331001252976222</v>
      </c>
      <c r="M206" s="13">
        <v>-0.87644945126119533</v>
      </c>
    </row>
    <row r="207" spans="1:13" x14ac:dyDescent="0.25">
      <c r="A207" t="s">
        <v>1759</v>
      </c>
      <c r="B207" t="s">
        <v>442</v>
      </c>
      <c r="C207" t="s">
        <v>304</v>
      </c>
      <c r="D207" t="s">
        <v>149</v>
      </c>
      <c r="E207" t="s">
        <v>150</v>
      </c>
      <c r="F207" s="14">
        <v>7033.3730399999986</v>
      </c>
      <c r="G207" s="14">
        <v>9451.1111999999994</v>
      </c>
      <c r="H207" s="14">
        <v>4865.9274100000002</v>
      </c>
      <c r="I207" s="14">
        <v>1925.4244799999999</v>
      </c>
      <c r="J207" s="15">
        <v>23275.83613</v>
      </c>
      <c r="K207" s="16">
        <v>0.34375230010549818</v>
      </c>
      <c r="L207" s="18">
        <v>-0.48514758666684599</v>
      </c>
      <c r="M207" s="18">
        <v>-0.60430472595151197</v>
      </c>
    </row>
    <row r="208" spans="1:13" x14ac:dyDescent="0.25">
      <c r="A208" s="7" t="s">
        <v>1761</v>
      </c>
      <c r="B208" s="7" t="s">
        <v>145</v>
      </c>
      <c r="C208" s="7" t="s">
        <v>146</v>
      </c>
      <c r="D208" s="7" t="s">
        <v>390</v>
      </c>
      <c r="E208" s="7" t="s">
        <v>150</v>
      </c>
      <c r="F208" s="10">
        <v>1843.95316</v>
      </c>
      <c r="G208" s="10">
        <v>3170.1572900000001</v>
      </c>
      <c r="H208" s="10">
        <v>715.87090999999998</v>
      </c>
      <c r="I208" s="10">
        <v>0</v>
      </c>
      <c r="J208" s="11">
        <v>5729.9813599999998</v>
      </c>
      <c r="K208" s="19">
        <v>0.71921790573031696</v>
      </c>
      <c r="L208" s="13">
        <v>-0.7741844190954954</v>
      </c>
      <c r="M208" s="13">
        <v>-1</v>
      </c>
    </row>
    <row r="209" spans="1:13" x14ac:dyDescent="0.25">
      <c r="A209" t="s">
        <v>1766</v>
      </c>
      <c r="B209" t="s">
        <v>145</v>
      </c>
      <c r="C209" t="s">
        <v>417</v>
      </c>
      <c r="E209" t="s">
        <v>150</v>
      </c>
      <c r="F209" s="14">
        <v>998.90006000000005</v>
      </c>
      <c r="G209" s="14">
        <v>0</v>
      </c>
      <c r="H209" s="14">
        <v>0</v>
      </c>
      <c r="I209" s="14">
        <v>0</v>
      </c>
      <c r="J209" s="15">
        <v>998.90006000000005</v>
      </c>
      <c r="K209" s="18">
        <v>-1</v>
      </c>
      <c r="L209" t="s">
        <v>145</v>
      </c>
      <c r="M209" t="s">
        <v>145</v>
      </c>
    </row>
    <row r="210" spans="1:13" x14ac:dyDescent="0.25">
      <c r="A210" s="7" t="s">
        <v>1786</v>
      </c>
      <c r="B210" s="7" t="s">
        <v>145</v>
      </c>
      <c r="C210" s="7" t="s">
        <v>145</v>
      </c>
      <c r="D210" s="7" t="s">
        <v>159</v>
      </c>
      <c r="E210" s="7" t="s">
        <v>150</v>
      </c>
      <c r="F210" s="10">
        <v>2141.1244900000002</v>
      </c>
      <c r="G210" s="10">
        <v>2453.38906</v>
      </c>
      <c r="H210" s="10">
        <v>0</v>
      </c>
      <c r="I210" s="10">
        <v>0</v>
      </c>
      <c r="J210" s="11">
        <v>4594.5135499999997</v>
      </c>
      <c r="K210" s="19">
        <v>0.14584138916649339</v>
      </c>
      <c r="L210" s="13">
        <v>-1</v>
      </c>
      <c r="M210" s="7" t="s">
        <v>145</v>
      </c>
    </row>
    <row r="211" spans="1:13" x14ac:dyDescent="0.25">
      <c r="A211" t="s">
        <v>1819</v>
      </c>
      <c r="B211" t="s">
        <v>145</v>
      </c>
      <c r="C211" t="s">
        <v>145</v>
      </c>
      <c r="D211" t="s">
        <v>778</v>
      </c>
      <c r="E211" t="s">
        <v>150</v>
      </c>
      <c r="F211" s="14">
        <v>0</v>
      </c>
      <c r="G211" s="14">
        <v>0</v>
      </c>
      <c r="H211" s="14">
        <v>6390.9886800000004</v>
      </c>
      <c r="I211" s="14">
        <v>0</v>
      </c>
      <c r="J211" s="15">
        <v>6390.9886800000004</v>
      </c>
      <c r="K211" t="s">
        <v>145</v>
      </c>
      <c r="L211" s="21" t="s">
        <v>2479</v>
      </c>
      <c r="M211" s="18">
        <v>-1</v>
      </c>
    </row>
    <row r="212" spans="1:13" x14ac:dyDescent="0.25">
      <c r="A212" s="7" t="s">
        <v>1824</v>
      </c>
      <c r="B212" s="7" t="s">
        <v>145</v>
      </c>
      <c r="C212" s="7" t="s">
        <v>145</v>
      </c>
      <c r="D212" s="7" t="s">
        <v>149</v>
      </c>
      <c r="E212" s="7" t="s">
        <v>150</v>
      </c>
      <c r="F212" s="10">
        <v>0</v>
      </c>
      <c r="G212" s="10">
        <v>0</v>
      </c>
      <c r="H212" s="10">
        <v>3475.3697999999999</v>
      </c>
      <c r="I212" s="10">
        <v>0</v>
      </c>
      <c r="J212" s="11">
        <v>3475.3697999999999</v>
      </c>
      <c r="K212" s="7" t="s">
        <v>145</v>
      </c>
      <c r="L212" s="12" t="s">
        <v>2479</v>
      </c>
      <c r="M212" s="13">
        <v>-1</v>
      </c>
    </row>
    <row r="213" spans="1:13" x14ac:dyDescent="0.25">
      <c r="A213" t="s">
        <v>1848</v>
      </c>
      <c r="B213" t="s">
        <v>145</v>
      </c>
      <c r="C213" t="s">
        <v>145</v>
      </c>
      <c r="D213" t="s">
        <v>1851</v>
      </c>
      <c r="E213" t="s">
        <v>215</v>
      </c>
      <c r="F213" s="14">
        <v>0</v>
      </c>
      <c r="G213" s="14">
        <v>6326.38</v>
      </c>
      <c r="H213" s="14">
        <v>0</v>
      </c>
      <c r="I213" s="14">
        <v>0</v>
      </c>
      <c r="J213" s="15">
        <v>6326.38</v>
      </c>
      <c r="K213" s="21" t="s">
        <v>2479</v>
      </c>
      <c r="L213" s="18">
        <v>-1</v>
      </c>
      <c r="M213" t="s">
        <v>145</v>
      </c>
    </row>
    <row r="214" spans="1:13" x14ac:dyDescent="0.25">
      <c r="A214" s="7" t="s">
        <v>1854</v>
      </c>
      <c r="B214" s="7" t="s">
        <v>1367</v>
      </c>
      <c r="C214" s="7" t="s">
        <v>145</v>
      </c>
      <c r="D214" s="7" t="s">
        <v>149</v>
      </c>
      <c r="E214" s="7" t="s">
        <v>150</v>
      </c>
      <c r="F214" s="10">
        <v>9448.3502399999998</v>
      </c>
      <c r="G214" s="10">
        <v>5514.1893099999998</v>
      </c>
      <c r="H214" s="10">
        <v>7607.9403199999997</v>
      </c>
      <c r="I214" s="10">
        <v>0</v>
      </c>
      <c r="J214" s="11">
        <v>22570.479869999999</v>
      </c>
      <c r="K214" s="13">
        <v>-0.41638601767158878</v>
      </c>
      <c r="L214" s="19">
        <v>0.37970241721715581</v>
      </c>
      <c r="M214" s="13">
        <v>-1</v>
      </c>
    </row>
    <row r="215" spans="1:13" x14ac:dyDescent="0.25">
      <c r="A215" t="s">
        <v>1854</v>
      </c>
      <c r="B215" t="s">
        <v>145</v>
      </c>
      <c r="C215" t="s">
        <v>145</v>
      </c>
      <c r="D215" t="s">
        <v>149</v>
      </c>
      <c r="E215" t="s">
        <v>150</v>
      </c>
      <c r="F215" s="14">
        <v>0</v>
      </c>
      <c r="G215" s="14">
        <v>0</v>
      </c>
      <c r="H215" s="14">
        <v>0</v>
      </c>
      <c r="I215" s="14">
        <v>3272.6118999999999</v>
      </c>
      <c r="J215" s="15">
        <v>3272.6118999999999</v>
      </c>
      <c r="K215" t="s">
        <v>145</v>
      </c>
      <c r="L215" t="s">
        <v>145</v>
      </c>
      <c r="M215" s="21" t="s">
        <v>2479</v>
      </c>
    </row>
    <row r="216" spans="1:13" x14ac:dyDescent="0.25">
      <c r="A216" s="7" t="s">
        <v>1869</v>
      </c>
      <c r="B216" s="7" t="s">
        <v>145</v>
      </c>
      <c r="C216" s="7" t="s">
        <v>346</v>
      </c>
      <c r="D216" s="7"/>
      <c r="E216" s="7" t="s">
        <v>150</v>
      </c>
      <c r="F216" s="10">
        <v>139871.36222000001</v>
      </c>
      <c r="G216" s="10">
        <v>102454.25199999999</v>
      </c>
      <c r="H216" s="10">
        <v>25101.044529999999</v>
      </c>
      <c r="I216" s="10">
        <v>0</v>
      </c>
      <c r="J216" s="11">
        <v>267426.65875</v>
      </c>
      <c r="K216" s="13">
        <v>-0.2675108730345217</v>
      </c>
      <c r="L216" s="13">
        <v>-0.75500241288180014</v>
      </c>
      <c r="M216" s="13">
        <v>-1</v>
      </c>
    </row>
    <row r="217" spans="1:13" x14ac:dyDescent="0.25">
      <c r="A217" t="s">
        <v>1877</v>
      </c>
      <c r="B217" t="s">
        <v>145</v>
      </c>
      <c r="C217" t="s">
        <v>145</v>
      </c>
      <c r="D217" t="s">
        <v>1208</v>
      </c>
      <c r="E217" t="s">
        <v>150</v>
      </c>
      <c r="F217" s="14">
        <v>2157.2710699999998</v>
      </c>
      <c r="G217" s="14">
        <v>0</v>
      </c>
      <c r="H217" s="14">
        <v>0</v>
      </c>
      <c r="I217" s="14">
        <v>0</v>
      </c>
      <c r="J217" s="15">
        <v>2157.2710699999998</v>
      </c>
      <c r="K217" s="18">
        <v>-1</v>
      </c>
      <c r="L217" t="s">
        <v>145</v>
      </c>
      <c r="M217" t="s">
        <v>145</v>
      </c>
    </row>
    <row r="218" spans="1:13" x14ac:dyDescent="0.25">
      <c r="A218" s="7" t="s">
        <v>1886</v>
      </c>
      <c r="B218" s="7" t="s">
        <v>145</v>
      </c>
      <c r="C218" s="7" t="s">
        <v>304</v>
      </c>
      <c r="D218" s="7" t="s">
        <v>1398</v>
      </c>
      <c r="E218" s="7" t="s">
        <v>150</v>
      </c>
      <c r="F218" s="10">
        <v>10351.4372</v>
      </c>
      <c r="G218" s="10">
        <v>0</v>
      </c>
      <c r="H218" s="10">
        <v>0</v>
      </c>
      <c r="I218" s="10">
        <v>0</v>
      </c>
      <c r="J218" s="11">
        <v>10351.4372</v>
      </c>
      <c r="K218" s="13">
        <v>-1</v>
      </c>
      <c r="L218" s="7" t="s">
        <v>145</v>
      </c>
      <c r="M218" s="7" t="s">
        <v>145</v>
      </c>
    </row>
    <row r="219" spans="1:13" x14ac:dyDescent="0.25">
      <c r="A219" t="s">
        <v>1891</v>
      </c>
      <c r="B219" t="s">
        <v>145</v>
      </c>
      <c r="C219" t="s">
        <v>145</v>
      </c>
      <c r="D219" t="s">
        <v>1398</v>
      </c>
      <c r="E219" t="s">
        <v>150</v>
      </c>
      <c r="F219" s="14">
        <v>2717.36</v>
      </c>
      <c r="G219" s="14">
        <v>0</v>
      </c>
      <c r="H219" s="14">
        <v>0</v>
      </c>
      <c r="I219" s="14">
        <v>0</v>
      </c>
      <c r="J219" s="15">
        <v>2717.36</v>
      </c>
      <c r="K219" s="18">
        <v>-1</v>
      </c>
      <c r="L219" t="s">
        <v>145</v>
      </c>
      <c r="M219" t="s">
        <v>145</v>
      </c>
    </row>
    <row r="220" spans="1:13" x14ac:dyDescent="0.25">
      <c r="A220" s="7" t="s">
        <v>1896</v>
      </c>
      <c r="B220" s="7" t="s">
        <v>145</v>
      </c>
      <c r="C220" s="7" t="s">
        <v>146</v>
      </c>
      <c r="D220" s="7" t="s">
        <v>149</v>
      </c>
      <c r="E220" s="7" t="s">
        <v>150</v>
      </c>
      <c r="F220" s="10">
        <v>0</v>
      </c>
      <c r="G220" s="10">
        <v>3692.5079099999998</v>
      </c>
      <c r="H220" s="10">
        <v>11121.68756</v>
      </c>
      <c r="I220" s="10">
        <v>3441.6977000000002</v>
      </c>
      <c r="J220" s="11">
        <v>18255.893169999999</v>
      </c>
      <c r="K220" s="12" t="s">
        <v>2479</v>
      </c>
      <c r="L220" s="19">
        <v>2.011960388732112</v>
      </c>
      <c r="M220" s="13">
        <v>-0.69054177421973895</v>
      </c>
    </row>
    <row r="221" spans="1:13" x14ac:dyDescent="0.25">
      <c r="A221" t="s">
        <v>1901</v>
      </c>
      <c r="B221" t="s">
        <v>145</v>
      </c>
      <c r="C221" t="s">
        <v>145</v>
      </c>
      <c r="D221" t="s">
        <v>149</v>
      </c>
      <c r="E221" t="s">
        <v>150</v>
      </c>
      <c r="F221" s="14">
        <v>0</v>
      </c>
      <c r="G221" s="14">
        <v>0</v>
      </c>
      <c r="H221" s="14">
        <v>3632.76</v>
      </c>
      <c r="I221" s="14">
        <v>32492.564139999999</v>
      </c>
      <c r="J221" s="15">
        <v>36125.324139999997</v>
      </c>
      <c r="K221" t="s">
        <v>145</v>
      </c>
      <c r="L221" s="21" t="s">
        <v>2479</v>
      </c>
      <c r="M221" s="16">
        <v>7.9443189585879601</v>
      </c>
    </row>
    <row r="222" spans="1:13" x14ac:dyDescent="0.25">
      <c r="A222" s="7" t="s">
        <v>1903</v>
      </c>
      <c r="B222" s="7" t="s">
        <v>358</v>
      </c>
      <c r="C222" s="7" t="s">
        <v>346</v>
      </c>
      <c r="D222" s="7" t="s">
        <v>361</v>
      </c>
      <c r="E222" s="7" t="s">
        <v>150</v>
      </c>
      <c r="F222" s="10">
        <v>13387.36629</v>
      </c>
      <c r="G222" s="10">
        <v>6893.9331099999999</v>
      </c>
      <c r="H222" s="10">
        <v>10752.10729</v>
      </c>
      <c r="I222" s="10">
        <v>2659.68</v>
      </c>
      <c r="J222" s="11">
        <v>33693.086689999996</v>
      </c>
      <c r="K222" s="13">
        <v>-0.48504187002415988</v>
      </c>
      <c r="L222" s="19">
        <v>0.55964775382046028</v>
      </c>
      <c r="M222" s="13">
        <v>-0.75263639691601325</v>
      </c>
    </row>
    <row r="223" spans="1:13" x14ac:dyDescent="0.25">
      <c r="A223" t="s">
        <v>1908</v>
      </c>
      <c r="B223" t="s">
        <v>145</v>
      </c>
      <c r="C223" t="s">
        <v>146</v>
      </c>
      <c r="D223" t="s">
        <v>1911</v>
      </c>
      <c r="E223" t="s">
        <v>150</v>
      </c>
      <c r="F223" s="14">
        <v>38581.588300000003</v>
      </c>
      <c r="G223" s="14">
        <v>32404.961869999999</v>
      </c>
      <c r="H223" s="14">
        <v>58945.057999999997</v>
      </c>
      <c r="I223" s="14">
        <v>0</v>
      </c>
      <c r="J223" s="15">
        <v>129931.60817000001</v>
      </c>
      <c r="K223" s="18">
        <v>-0.1600925908485733</v>
      </c>
      <c r="L223" s="16">
        <v>0.81901334235391887</v>
      </c>
      <c r="M223" s="18">
        <v>-1</v>
      </c>
    </row>
    <row r="224" spans="1:13" x14ac:dyDescent="0.25">
      <c r="A224" s="7" t="s">
        <v>1914</v>
      </c>
      <c r="B224" s="7" t="s">
        <v>145</v>
      </c>
      <c r="C224" s="7" t="s">
        <v>346</v>
      </c>
      <c r="D224" s="7" t="s">
        <v>1056</v>
      </c>
      <c r="E224" s="7" t="s">
        <v>150</v>
      </c>
      <c r="F224" s="10">
        <v>153905.27202</v>
      </c>
      <c r="G224" s="10">
        <v>921868.17810999998</v>
      </c>
      <c r="H224" s="10">
        <v>0</v>
      </c>
      <c r="I224" s="10">
        <v>0</v>
      </c>
      <c r="J224" s="11">
        <v>1075773.45013</v>
      </c>
      <c r="K224" s="19">
        <v>4.9898414525410351</v>
      </c>
      <c r="L224" s="13">
        <v>-1</v>
      </c>
      <c r="M224" s="7" t="s">
        <v>145</v>
      </c>
    </row>
    <row r="225" spans="1:13" x14ac:dyDescent="0.25">
      <c r="A225" t="s">
        <v>1919</v>
      </c>
      <c r="B225" t="s">
        <v>1407</v>
      </c>
      <c r="C225" t="s">
        <v>304</v>
      </c>
      <c r="D225" t="s">
        <v>593</v>
      </c>
      <c r="E225" t="s">
        <v>150</v>
      </c>
      <c r="F225" s="14">
        <v>7915.9619499999999</v>
      </c>
      <c r="G225" s="14">
        <v>10598.69175</v>
      </c>
      <c r="H225" s="14">
        <v>0</v>
      </c>
      <c r="I225" s="14">
        <v>0</v>
      </c>
      <c r="J225" s="15">
        <v>18514.653699999999</v>
      </c>
      <c r="K225" s="16">
        <v>0.33890130055513967</v>
      </c>
      <c r="L225" s="18">
        <v>-1</v>
      </c>
      <c r="M225" t="s">
        <v>145</v>
      </c>
    </row>
    <row r="226" spans="1:13" x14ac:dyDescent="0.25">
      <c r="A226" s="7" t="s">
        <v>1921</v>
      </c>
      <c r="B226" s="7" t="s">
        <v>1407</v>
      </c>
      <c r="C226" s="7" t="s">
        <v>304</v>
      </c>
      <c r="D226" s="7"/>
      <c r="E226" s="7"/>
      <c r="F226" s="10">
        <v>10948.0535</v>
      </c>
      <c r="G226" s="10">
        <v>0</v>
      </c>
      <c r="H226" s="10">
        <v>0</v>
      </c>
      <c r="I226" s="10">
        <v>0</v>
      </c>
      <c r="J226" s="11">
        <v>10948.0535</v>
      </c>
      <c r="K226" s="13">
        <v>-1</v>
      </c>
      <c r="L226" s="7" t="s">
        <v>145</v>
      </c>
      <c r="M226" s="7" t="s">
        <v>145</v>
      </c>
    </row>
    <row r="227" spans="1:13" x14ac:dyDescent="0.25">
      <c r="A227" t="s">
        <v>1933</v>
      </c>
      <c r="B227" t="s">
        <v>145</v>
      </c>
      <c r="C227" t="s">
        <v>145</v>
      </c>
      <c r="D227" t="s">
        <v>1936</v>
      </c>
      <c r="E227" t="s">
        <v>215</v>
      </c>
      <c r="F227" s="14">
        <v>0</v>
      </c>
      <c r="G227" s="14">
        <v>41673.599999999999</v>
      </c>
      <c r="H227" s="14">
        <v>60561.12000000001</v>
      </c>
      <c r="I227" s="14">
        <v>2256.12</v>
      </c>
      <c r="J227" s="15">
        <v>104490.84</v>
      </c>
      <c r="K227" s="21" t="s">
        <v>2479</v>
      </c>
      <c r="L227" s="16">
        <v>0.45322506334945889</v>
      </c>
      <c r="M227" s="18">
        <v>-0.96274639570734488</v>
      </c>
    </row>
    <row r="228" spans="1:13" x14ac:dyDescent="0.25">
      <c r="A228" s="7" t="s">
        <v>1944</v>
      </c>
      <c r="B228" s="7" t="s">
        <v>145</v>
      </c>
      <c r="C228" s="7" t="s">
        <v>145</v>
      </c>
      <c r="D228" s="7" t="s">
        <v>1056</v>
      </c>
      <c r="E228" s="7" t="s">
        <v>150</v>
      </c>
      <c r="F228" s="10">
        <v>0</v>
      </c>
      <c r="G228" s="10">
        <v>20724.310519999999</v>
      </c>
      <c r="H228" s="10">
        <v>4824.5714399999997</v>
      </c>
      <c r="I228" s="10">
        <v>0</v>
      </c>
      <c r="J228" s="11">
        <v>25548.881959999999</v>
      </c>
      <c r="K228" s="12" t="s">
        <v>2479</v>
      </c>
      <c r="L228" s="13">
        <v>-0.76720231848755371</v>
      </c>
      <c r="M228" s="13">
        <v>-1</v>
      </c>
    </row>
    <row r="229" spans="1:13" x14ac:dyDescent="0.25">
      <c r="A229" t="s">
        <v>1949</v>
      </c>
      <c r="B229" t="s">
        <v>1950</v>
      </c>
      <c r="C229" t="s">
        <v>304</v>
      </c>
      <c r="D229" t="s">
        <v>1056</v>
      </c>
      <c r="E229" t="s">
        <v>150</v>
      </c>
      <c r="F229" s="14">
        <v>75920.445750000014</v>
      </c>
      <c r="G229" s="14">
        <v>132828.05136000001</v>
      </c>
      <c r="H229" s="14">
        <v>19794.574850000001</v>
      </c>
      <c r="I229" s="14">
        <v>0</v>
      </c>
      <c r="J229" s="15">
        <v>228543.07196</v>
      </c>
      <c r="K229" s="16">
        <v>0.74956890792491115</v>
      </c>
      <c r="L229" s="18">
        <v>-0.85097594486008576</v>
      </c>
      <c r="M229" s="18">
        <v>-1</v>
      </c>
    </row>
    <row r="230" spans="1:13" x14ac:dyDescent="0.25">
      <c r="A230" s="7" t="s">
        <v>1958</v>
      </c>
      <c r="B230" s="7" t="s">
        <v>145</v>
      </c>
      <c r="C230" s="7" t="s">
        <v>146</v>
      </c>
      <c r="D230" s="7" t="s">
        <v>171</v>
      </c>
      <c r="E230" s="7" t="s">
        <v>150</v>
      </c>
      <c r="F230" s="10">
        <v>46719.066959999996</v>
      </c>
      <c r="G230" s="10">
        <v>75540.337260000015</v>
      </c>
      <c r="H230" s="10">
        <v>228835.51725999999</v>
      </c>
      <c r="I230" s="10">
        <v>62019.996669999993</v>
      </c>
      <c r="J230" s="11">
        <v>413114.91814999998</v>
      </c>
      <c r="K230" s="19">
        <v>0.61690594815766031</v>
      </c>
      <c r="L230" s="19">
        <v>2.0293155360476871</v>
      </c>
      <c r="M230" s="13">
        <v>-0.72897565285054211</v>
      </c>
    </row>
    <row r="231" spans="1:13" x14ac:dyDescent="0.25">
      <c r="A231" t="s">
        <v>1963</v>
      </c>
      <c r="B231" t="s">
        <v>145</v>
      </c>
      <c r="C231" t="s">
        <v>145</v>
      </c>
      <c r="D231" t="s">
        <v>466</v>
      </c>
      <c r="E231" t="s">
        <v>150</v>
      </c>
      <c r="F231" s="14">
        <v>4914.0510299999996</v>
      </c>
      <c r="G231" s="14">
        <v>3438.9137300000002</v>
      </c>
      <c r="H231" s="14">
        <v>10662.582619999999</v>
      </c>
      <c r="I231" s="14">
        <v>0</v>
      </c>
      <c r="J231" s="15">
        <v>19015.54738</v>
      </c>
      <c r="K231" s="18">
        <v>-0.30018762340772842</v>
      </c>
      <c r="L231" s="16">
        <v>2.1005670560976819</v>
      </c>
      <c r="M231" s="18">
        <v>-1</v>
      </c>
    </row>
    <row r="232" spans="1:13" x14ac:dyDescent="0.25">
      <c r="A232" s="7" t="s">
        <v>1976</v>
      </c>
      <c r="B232" s="7" t="s">
        <v>145</v>
      </c>
      <c r="C232" s="7" t="s">
        <v>417</v>
      </c>
      <c r="D232" s="7" t="s">
        <v>177</v>
      </c>
      <c r="E232" s="7" t="s">
        <v>150</v>
      </c>
      <c r="F232" s="10">
        <v>9553.9349899999997</v>
      </c>
      <c r="G232" s="10">
        <v>5737.8494499999997</v>
      </c>
      <c r="H232" s="10">
        <v>3114.4996099999998</v>
      </c>
      <c r="I232" s="10">
        <v>0</v>
      </c>
      <c r="J232" s="11">
        <v>18406.284049999998</v>
      </c>
      <c r="K232" s="13">
        <v>-0.39942552927084551</v>
      </c>
      <c r="L232" s="13">
        <v>-0.45720088386076418</v>
      </c>
      <c r="M232" s="13">
        <v>-1</v>
      </c>
    </row>
    <row r="233" spans="1:13" x14ac:dyDescent="0.25">
      <c r="A233" t="s">
        <v>2008</v>
      </c>
      <c r="B233" t="s">
        <v>145</v>
      </c>
      <c r="C233" t="s">
        <v>146</v>
      </c>
      <c r="D233" t="s">
        <v>2011</v>
      </c>
      <c r="E233" t="s">
        <v>150</v>
      </c>
      <c r="F233" s="14">
        <v>3444.6197200000001</v>
      </c>
      <c r="G233" s="14">
        <v>545.19757000000004</v>
      </c>
      <c r="H233" s="14">
        <v>0</v>
      </c>
      <c r="I233" s="14">
        <v>0</v>
      </c>
      <c r="J233" s="15">
        <v>3989.81729</v>
      </c>
      <c r="K233" s="18">
        <v>-0.84172488857492811</v>
      </c>
      <c r="L233" s="18">
        <v>-1</v>
      </c>
      <c r="M233" t="s">
        <v>145</v>
      </c>
    </row>
    <row r="234" spans="1:13" x14ac:dyDescent="0.25">
      <c r="A234" s="7" t="s">
        <v>2024</v>
      </c>
      <c r="B234" s="7" t="s">
        <v>145</v>
      </c>
      <c r="C234" s="7" t="s">
        <v>304</v>
      </c>
      <c r="D234" s="7" t="s">
        <v>2027</v>
      </c>
      <c r="E234" s="7" t="s">
        <v>150</v>
      </c>
      <c r="F234" s="10">
        <v>13071.486349999999</v>
      </c>
      <c r="G234" s="10">
        <v>8097.2769800000005</v>
      </c>
      <c r="H234" s="10">
        <v>0</v>
      </c>
      <c r="I234" s="10">
        <v>0</v>
      </c>
      <c r="J234" s="11">
        <v>21168.763330000002</v>
      </c>
      <c r="K234" s="13">
        <v>-0.38053892547575502</v>
      </c>
      <c r="L234" s="13">
        <v>-1</v>
      </c>
      <c r="M234" s="7" t="s">
        <v>145</v>
      </c>
    </row>
    <row r="235" spans="1:13" x14ac:dyDescent="0.25">
      <c r="A235" t="s">
        <v>2030</v>
      </c>
      <c r="B235" t="s">
        <v>2031</v>
      </c>
      <c r="C235" t="s">
        <v>304</v>
      </c>
      <c r="D235" t="s">
        <v>598</v>
      </c>
      <c r="E235" t="s">
        <v>150</v>
      </c>
      <c r="F235" s="14">
        <v>22241.020280000001</v>
      </c>
      <c r="G235" s="14">
        <v>7424.5312400000003</v>
      </c>
      <c r="H235" s="14">
        <v>7422.7921500000002</v>
      </c>
      <c r="I235" s="14">
        <v>1400.7255</v>
      </c>
      <c r="J235" s="15">
        <v>38489.069170000002</v>
      </c>
      <c r="K235" s="18">
        <v>-0.66617847803158425</v>
      </c>
      <c r="L235" s="17">
        <v>-2.3423566334135771E-4</v>
      </c>
      <c r="M235" s="18">
        <v>-0.81129398861047197</v>
      </c>
    </row>
    <row r="236" spans="1:13" x14ac:dyDescent="0.25">
      <c r="A236" s="7" t="s">
        <v>2036</v>
      </c>
      <c r="B236" s="7" t="s">
        <v>2031</v>
      </c>
      <c r="C236" s="7" t="s">
        <v>304</v>
      </c>
      <c r="D236" s="7" t="s">
        <v>598</v>
      </c>
      <c r="E236" s="7" t="s">
        <v>150</v>
      </c>
      <c r="F236" s="10">
        <v>49205.337639999998</v>
      </c>
      <c r="G236" s="10">
        <v>21522.160739999999</v>
      </c>
      <c r="H236" s="10">
        <v>19295.341420000001</v>
      </c>
      <c r="I236" s="10">
        <v>2891.3073599999998</v>
      </c>
      <c r="J236" s="11">
        <v>92914.147159999993</v>
      </c>
      <c r="K236" s="13">
        <v>-0.56260516089815016</v>
      </c>
      <c r="L236" s="13">
        <v>-0.10346634554500569</v>
      </c>
      <c r="M236" s="13">
        <v>-0.85015515936903285</v>
      </c>
    </row>
    <row r="237" spans="1:13" x14ac:dyDescent="0.25">
      <c r="A237" t="s">
        <v>2046</v>
      </c>
      <c r="B237" t="s">
        <v>2047</v>
      </c>
      <c r="C237" t="s">
        <v>304</v>
      </c>
      <c r="D237" t="s">
        <v>1202</v>
      </c>
      <c r="E237" t="s">
        <v>150</v>
      </c>
      <c r="F237" s="14">
        <v>0</v>
      </c>
      <c r="G237" s="14">
        <v>0</v>
      </c>
      <c r="H237" s="14">
        <v>0</v>
      </c>
      <c r="I237" s="14">
        <v>3640.248</v>
      </c>
      <c r="J237" s="15">
        <v>3640.248</v>
      </c>
      <c r="K237" t="s">
        <v>145</v>
      </c>
      <c r="L237" t="s">
        <v>145</v>
      </c>
      <c r="M237" s="21" t="s">
        <v>2479</v>
      </c>
    </row>
    <row r="238" spans="1:13" x14ac:dyDescent="0.25">
      <c r="A238" s="7" t="s">
        <v>2066</v>
      </c>
      <c r="B238" s="7" t="s">
        <v>145</v>
      </c>
      <c r="C238" s="7" t="s">
        <v>304</v>
      </c>
      <c r="D238" s="7" t="s">
        <v>1116</v>
      </c>
      <c r="E238" s="7" t="s">
        <v>150</v>
      </c>
      <c r="F238" s="10">
        <v>2227.97523</v>
      </c>
      <c r="G238" s="10">
        <v>2214.9801600000001</v>
      </c>
      <c r="H238" s="10">
        <v>5388.96828</v>
      </c>
      <c r="I238" s="10">
        <v>0</v>
      </c>
      <c r="J238" s="11">
        <v>9831.9236700000001</v>
      </c>
      <c r="K238" s="20">
        <v>-5.8326815419756442E-3</v>
      </c>
      <c r="L238" s="19">
        <v>1.4329645824005941</v>
      </c>
      <c r="M238" s="13">
        <v>-1</v>
      </c>
    </row>
    <row r="239" spans="1:13" x14ac:dyDescent="0.25">
      <c r="A239" t="s">
        <v>2071</v>
      </c>
      <c r="B239" t="s">
        <v>145</v>
      </c>
      <c r="C239" t="s">
        <v>304</v>
      </c>
      <c r="D239" t="s">
        <v>2074</v>
      </c>
      <c r="E239" t="s">
        <v>150</v>
      </c>
      <c r="F239" s="14">
        <v>14777.837810000001</v>
      </c>
      <c r="G239" s="14">
        <v>2990.3340699999999</v>
      </c>
      <c r="H239" s="14">
        <v>2337.9275699999998</v>
      </c>
      <c r="I239" s="14">
        <v>0</v>
      </c>
      <c r="J239" s="15">
        <v>20106.099450000002</v>
      </c>
      <c r="K239" s="18">
        <v>-0.79764738871498009</v>
      </c>
      <c r="L239" s="18">
        <v>-0.21817177771044161</v>
      </c>
      <c r="M239" s="18">
        <v>-1</v>
      </c>
    </row>
    <row r="240" spans="1:13" x14ac:dyDescent="0.25">
      <c r="A240" s="7" t="s">
        <v>2085</v>
      </c>
      <c r="B240" s="7" t="s">
        <v>481</v>
      </c>
      <c r="C240" s="7" t="s">
        <v>304</v>
      </c>
      <c r="D240" s="7" t="s">
        <v>238</v>
      </c>
      <c r="E240" s="7" t="s">
        <v>150</v>
      </c>
      <c r="F240" s="10">
        <v>42058.606940000012</v>
      </c>
      <c r="G240" s="10">
        <v>39581.751240000012</v>
      </c>
      <c r="H240" s="10">
        <v>29789.069810000001</v>
      </c>
      <c r="I240" s="10">
        <v>0</v>
      </c>
      <c r="J240" s="11">
        <v>111429.42799</v>
      </c>
      <c r="K240" s="13">
        <v>-5.8890578652151443E-2</v>
      </c>
      <c r="L240" s="13">
        <v>-0.2474039455865169</v>
      </c>
      <c r="M240" s="13">
        <v>-1</v>
      </c>
    </row>
    <row r="241" spans="1:13" x14ac:dyDescent="0.25">
      <c r="A241" t="s">
        <v>2089</v>
      </c>
      <c r="B241" t="s">
        <v>481</v>
      </c>
      <c r="C241" t="s">
        <v>304</v>
      </c>
      <c r="D241" t="s">
        <v>1133</v>
      </c>
      <c r="E241" t="s">
        <v>150</v>
      </c>
      <c r="F241" s="14">
        <v>75806.808760000014</v>
      </c>
      <c r="G241" s="14">
        <v>263435.20273000002</v>
      </c>
      <c r="H241" s="14">
        <v>46245.534509999998</v>
      </c>
      <c r="I241" s="14">
        <v>0</v>
      </c>
      <c r="J241" s="15">
        <v>385487.54600000009</v>
      </c>
      <c r="K241" s="16">
        <v>2.4750863021291489</v>
      </c>
      <c r="L241" s="18">
        <v>-0.82445195618978084</v>
      </c>
      <c r="M241" s="18">
        <v>-1</v>
      </c>
    </row>
    <row r="242" spans="1:13" x14ac:dyDescent="0.25">
      <c r="A242" s="7" t="s">
        <v>2089</v>
      </c>
      <c r="B242" s="7" t="s">
        <v>481</v>
      </c>
      <c r="C242" s="7" t="s">
        <v>304</v>
      </c>
      <c r="D242" s="7" t="s">
        <v>785</v>
      </c>
      <c r="E242" s="7" t="s">
        <v>150</v>
      </c>
      <c r="F242" s="10">
        <v>0</v>
      </c>
      <c r="G242" s="10">
        <v>303.9984</v>
      </c>
      <c r="H242" s="10">
        <v>1049.52</v>
      </c>
      <c r="I242" s="10">
        <v>0</v>
      </c>
      <c r="J242" s="11">
        <v>1353.5183999999999</v>
      </c>
      <c r="K242" s="12" t="s">
        <v>2479</v>
      </c>
      <c r="L242" s="19">
        <v>2.4523865915083758</v>
      </c>
      <c r="M242" s="13">
        <v>-1</v>
      </c>
    </row>
    <row r="243" spans="1:13" x14ac:dyDescent="0.25">
      <c r="A243" t="s">
        <v>2096</v>
      </c>
      <c r="B243" t="s">
        <v>145</v>
      </c>
      <c r="C243" t="s">
        <v>304</v>
      </c>
      <c r="D243" t="s">
        <v>2099</v>
      </c>
      <c r="E243" t="s">
        <v>150</v>
      </c>
      <c r="F243" s="14">
        <v>17399.96228</v>
      </c>
      <c r="G243" s="14">
        <v>0</v>
      </c>
      <c r="H243" s="14">
        <v>0</v>
      </c>
      <c r="I243" s="14">
        <v>0</v>
      </c>
      <c r="J243" s="15">
        <v>17399.96228</v>
      </c>
      <c r="K243" s="18">
        <v>-1</v>
      </c>
      <c r="L243" t="s">
        <v>145</v>
      </c>
      <c r="M243" t="s">
        <v>145</v>
      </c>
    </row>
    <row r="244" spans="1:13" x14ac:dyDescent="0.25">
      <c r="A244" s="7" t="s">
        <v>2102</v>
      </c>
      <c r="B244" s="7" t="s">
        <v>2103</v>
      </c>
      <c r="C244" s="7" t="s">
        <v>304</v>
      </c>
      <c r="D244" s="7" t="s">
        <v>2106</v>
      </c>
      <c r="E244" s="7" t="s">
        <v>150</v>
      </c>
      <c r="F244" s="10">
        <v>1092.58197</v>
      </c>
      <c r="G244" s="10">
        <v>0</v>
      </c>
      <c r="H244" s="10">
        <v>1272.9981299999999</v>
      </c>
      <c r="I244" s="10">
        <v>0</v>
      </c>
      <c r="J244" s="11">
        <v>2365.5801000000001</v>
      </c>
      <c r="K244" s="13">
        <v>-1</v>
      </c>
      <c r="L244" s="12" t="s">
        <v>2479</v>
      </c>
      <c r="M244" s="13">
        <v>-1</v>
      </c>
    </row>
    <row r="245" spans="1:13" x14ac:dyDescent="0.25">
      <c r="A245" t="s">
        <v>2109</v>
      </c>
      <c r="B245" t="s">
        <v>145</v>
      </c>
      <c r="C245" t="s">
        <v>145</v>
      </c>
      <c r="D245" t="s">
        <v>1936</v>
      </c>
      <c r="E245" t="s">
        <v>215</v>
      </c>
      <c r="F245" s="14">
        <v>5986.95</v>
      </c>
      <c r="G245" s="14">
        <v>0</v>
      </c>
      <c r="H245" s="14">
        <v>0</v>
      </c>
      <c r="I245" s="14">
        <v>0</v>
      </c>
      <c r="J245" s="15">
        <v>5986.95</v>
      </c>
      <c r="K245" s="18">
        <v>-1</v>
      </c>
      <c r="L245" t="s">
        <v>145</v>
      </c>
      <c r="M245" t="s">
        <v>145</v>
      </c>
    </row>
    <row r="246" spans="1:13" x14ac:dyDescent="0.25">
      <c r="A246" s="7" t="s">
        <v>2112</v>
      </c>
      <c r="B246" s="7" t="s">
        <v>2103</v>
      </c>
      <c r="C246" s="7" t="s">
        <v>304</v>
      </c>
      <c r="D246" s="7" t="s">
        <v>2114</v>
      </c>
      <c r="E246" s="7" t="s">
        <v>150</v>
      </c>
      <c r="F246" s="10">
        <v>1960.44021</v>
      </c>
      <c r="G246" s="10">
        <v>0</v>
      </c>
      <c r="H246" s="10">
        <v>1272.9981299999999</v>
      </c>
      <c r="I246" s="10">
        <v>0</v>
      </c>
      <c r="J246" s="11">
        <v>3233.4383400000002</v>
      </c>
      <c r="K246" s="13">
        <v>-1</v>
      </c>
      <c r="L246" s="12" t="s">
        <v>2479</v>
      </c>
      <c r="M246" s="13">
        <v>-1</v>
      </c>
    </row>
    <row r="247" spans="1:13" x14ac:dyDescent="0.25">
      <c r="A247" t="s">
        <v>2115</v>
      </c>
      <c r="B247" t="s">
        <v>2103</v>
      </c>
      <c r="C247" t="s">
        <v>304</v>
      </c>
      <c r="D247" t="s">
        <v>2117</v>
      </c>
      <c r="E247" t="s">
        <v>150</v>
      </c>
      <c r="F247" s="14">
        <v>0</v>
      </c>
      <c r="G247" s="14">
        <v>0</v>
      </c>
      <c r="H247" s="14">
        <v>1272.9981299999999</v>
      </c>
      <c r="I247" s="14">
        <v>0</v>
      </c>
      <c r="J247" s="15">
        <v>1272.9981299999999</v>
      </c>
      <c r="K247" t="s">
        <v>145</v>
      </c>
      <c r="L247" s="21" t="s">
        <v>2479</v>
      </c>
      <c r="M247" s="18">
        <v>-1</v>
      </c>
    </row>
    <row r="248" spans="1:13" x14ac:dyDescent="0.25">
      <c r="A248" s="7" t="s">
        <v>2119</v>
      </c>
      <c r="B248" s="7" t="s">
        <v>2103</v>
      </c>
      <c r="C248" s="7" t="s">
        <v>145</v>
      </c>
      <c r="D248" s="7" t="s">
        <v>2121</v>
      </c>
      <c r="E248" s="7" t="s">
        <v>150</v>
      </c>
      <c r="F248" s="10">
        <v>0</v>
      </c>
      <c r="G248" s="10">
        <v>2215.72109</v>
      </c>
      <c r="H248" s="10">
        <v>2109.7174799999998</v>
      </c>
      <c r="I248" s="10">
        <v>0</v>
      </c>
      <c r="J248" s="11">
        <v>4325.4385700000003</v>
      </c>
      <c r="K248" s="12" t="s">
        <v>2479</v>
      </c>
      <c r="L248" s="20">
        <v>-4.7841585512913183E-2</v>
      </c>
      <c r="M248" s="13">
        <v>-1</v>
      </c>
    </row>
    <row r="249" spans="1:13" x14ac:dyDescent="0.25">
      <c r="A249" t="s">
        <v>2123</v>
      </c>
      <c r="B249" t="s">
        <v>145</v>
      </c>
      <c r="C249" t="s">
        <v>304</v>
      </c>
      <c r="D249" t="s">
        <v>2126</v>
      </c>
      <c r="E249" t="s">
        <v>150</v>
      </c>
      <c r="F249" s="14">
        <v>14798.44796</v>
      </c>
      <c r="G249" s="14">
        <v>38149.729599999999</v>
      </c>
      <c r="H249" s="14">
        <v>19095.361519999999</v>
      </c>
      <c r="I249" s="14">
        <v>0</v>
      </c>
      <c r="J249" s="15">
        <v>72043.539079999988</v>
      </c>
      <c r="K249" s="16">
        <v>1.57795477627912</v>
      </c>
      <c r="L249" s="18">
        <v>-0.49946272961263671</v>
      </c>
      <c r="M249" s="18">
        <v>-1</v>
      </c>
    </row>
    <row r="250" spans="1:13" x14ac:dyDescent="0.25">
      <c r="A250" s="7" t="s">
        <v>2129</v>
      </c>
      <c r="B250" s="7" t="s">
        <v>481</v>
      </c>
      <c r="C250" s="7" t="s">
        <v>304</v>
      </c>
      <c r="D250" s="7" t="s">
        <v>2131</v>
      </c>
      <c r="E250" s="7" t="s">
        <v>150</v>
      </c>
      <c r="F250" s="10">
        <v>26407.90294</v>
      </c>
      <c r="G250" s="10">
        <v>29426.665140000001</v>
      </c>
      <c r="H250" s="10">
        <v>17812.468219999999</v>
      </c>
      <c r="I250" s="10">
        <v>0</v>
      </c>
      <c r="J250" s="11">
        <v>73647.036299999992</v>
      </c>
      <c r="K250" s="19">
        <v>0.1143128330507263</v>
      </c>
      <c r="L250" s="13">
        <v>-0.39468274317678942</v>
      </c>
      <c r="M250" s="13">
        <v>-1</v>
      </c>
    </row>
    <row r="251" spans="1:13" x14ac:dyDescent="0.25">
      <c r="A251" t="s">
        <v>2134</v>
      </c>
      <c r="B251" t="s">
        <v>2135</v>
      </c>
      <c r="C251" t="s">
        <v>304</v>
      </c>
      <c r="D251" t="s">
        <v>502</v>
      </c>
      <c r="E251" t="s">
        <v>150</v>
      </c>
      <c r="F251" s="14">
        <v>0</v>
      </c>
      <c r="G251" s="14">
        <v>1827.24</v>
      </c>
      <c r="H251" s="14">
        <v>1908.81</v>
      </c>
      <c r="I251" s="14">
        <v>0</v>
      </c>
      <c r="J251" s="15">
        <v>3736.05</v>
      </c>
      <c r="K251" s="21" t="s">
        <v>2479</v>
      </c>
      <c r="L251" s="17">
        <v>4.4641098049517269E-2</v>
      </c>
      <c r="M251" s="18">
        <v>-1</v>
      </c>
    </row>
    <row r="252" spans="1:13" x14ac:dyDescent="0.25">
      <c r="A252" s="7" t="s">
        <v>2140</v>
      </c>
      <c r="B252" s="7" t="s">
        <v>2135</v>
      </c>
      <c r="C252" s="7" t="s">
        <v>304</v>
      </c>
      <c r="D252" s="7" t="s">
        <v>502</v>
      </c>
      <c r="E252" s="7" t="s">
        <v>150</v>
      </c>
      <c r="F252" s="10">
        <v>1956.2</v>
      </c>
      <c r="G252" s="10">
        <v>5662.08</v>
      </c>
      <c r="H252" s="10">
        <v>9480.3599999999988</v>
      </c>
      <c r="I252" s="10">
        <v>0</v>
      </c>
      <c r="J252" s="11">
        <v>17098.64</v>
      </c>
      <c r="K252" s="19">
        <v>1.8944279725999389</v>
      </c>
      <c r="L252" s="19">
        <v>0.67435995252627989</v>
      </c>
      <c r="M252" s="13">
        <v>-1</v>
      </c>
    </row>
    <row r="253" spans="1:13" x14ac:dyDescent="0.25">
      <c r="A253" t="s">
        <v>2142</v>
      </c>
      <c r="B253" t="s">
        <v>2135</v>
      </c>
      <c r="C253" t="s">
        <v>304</v>
      </c>
      <c r="D253" t="s">
        <v>502</v>
      </c>
      <c r="E253" t="s">
        <v>150</v>
      </c>
      <c r="F253" s="14">
        <v>1692.36</v>
      </c>
      <c r="G253" s="14">
        <v>3635.13</v>
      </c>
      <c r="H253" s="14">
        <v>2601.5700000000002</v>
      </c>
      <c r="I253" s="14">
        <v>0</v>
      </c>
      <c r="J253" s="15">
        <v>7929.0599999999986</v>
      </c>
      <c r="K253" s="16">
        <v>1.1479649719917751</v>
      </c>
      <c r="L253" s="18">
        <v>-0.28432545741142679</v>
      </c>
      <c r="M253" s="18">
        <v>-1</v>
      </c>
    </row>
    <row r="254" spans="1:13" x14ac:dyDescent="0.25">
      <c r="A254" s="7" t="s">
        <v>2146</v>
      </c>
      <c r="B254" s="7" t="s">
        <v>2135</v>
      </c>
      <c r="C254" s="7" t="s">
        <v>304</v>
      </c>
      <c r="D254" s="7" t="s">
        <v>2148</v>
      </c>
      <c r="E254" s="7" t="s">
        <v>150</v>
      </c>
      <c r="F254" s="10">
        <v>3353.5</v>
      </c>
      <c r="G254" s="10">
        <v>7788.08</v>
      </c>
      <c r="H254" s="10">
        <v>6244.32</v>
      </c>
      <c r="I254" s="10">
        <v>0</v>
      </c>
      <c r="J254" s="11">
        <v>17385.900000000001</v>
      </c>
      <c r="K254" s="19">
        <v>1.322373639481139</v>
      </c>
      <c r="L254" s="13">
        <v>-0.19822087086932849</v>
      </c>
      <c r="M254" s="13">
        <v>-1</v>
      </c>
    </row>
    <row r="255" spans="1:13" x14ac:dyDescent="0.25">
      <c r="A255" t="s">
        <v>2150</v>
      </c>
      <c r="B255" t="s">
        <v>2135</v>
      </c>
      <c r="C255" t="s">
        <v>145</v>
      </c>
      <c r="D255" t="s">
        <v>2153</v>
      </c>
      <c r="E255" t="s">
        <v>150</v>
      </c>
      <c r="F255" s="14">
        <v>0</v>
      </c>
      <c r="G255" s="14">
        <v>0</v>
      </c>
      <c r="H255" s="14">
        <v>1404.18</v>
      </c>
      <c r="I255" s="14">
        <v>0</v>
      </c>
      <c r="J255" s="15">
        <v>1404.18</v>
      </c>
      <c r="K255" t="s">
        <v>145</v>
      </c>
      <c r="L255" s="21" t="s">
        <v>2479</v>
      </c>
      <c r="M255" s="18">
        <v>-1</v>
      </c>
    </row>
    <row r="256" spans="1:13" x14ac:dyDescent="0.25">
      <c r="A256" s="7" t="s">
        <v>2156</v>
      </c>
      <c r="B256" s="7" t="s">
        <v>2135</v>
      </c>
      <c r="C256" s="7" t="s">
        <v>304</v>
      </c>
      <c r="D256" s="7" t="s">
        <v>502</v>
      </c>
      <c r="E256" s="7" t="s">
        <v>150</v>
      </c>
      <c r="F256" s="10">
        <v>3264.34</v>
      </c>
      <c r="G256" s="10">
        <v>6932.84</v>
      </c>
      <c r="H256" s="10">
        <v>4729.38</v>
      </c>
      <c r="I256" s="10">
        <v>0</v>
      </c>
      <c r="J256" s="11">
        <v>14926.56</v>
      </c>
      <c r="K256" s="19">
        <v>1.1238106324708821</v>
      </c>
      <c r="L256" s="13">
        <v>-0.31782934554958719</v>
      </c>
      <c r="M256" s="13">
        <v>-1</v>
      </c>
    </row>
    <row r="257" spans="1:13" x14ac:dyDescent="0.25">
      <c r="A257" t="s">
        <v>2159</v>
      </c>
      <c r="B257" t="s">
        <v>2160</v>
      </c>
      <c r="C257" t="s">
        <v>304</v>
      </c>
      <c r="D257" t="s">
        <v>2163</v>
      </c>
      <c r="E257" t="s">
        <v>150</v>
      </c>
      <c r="F257" s="14">
        <v>0</v>
      </c>
      <c r="G257" s="14">
        <v>0</v>
      </c>
      <c r="H257" s="14">
        <v>12770.21041</v>
      </c>
      <c r="I257" s="14">
        <v>0</v>
      </c>
      <c r="J257" s="15">
        <v>12770.21041</v>
      </c>
      <c r="K257" t="s">
        <v>145</v>
      </c>
      <c r="L257" s="21" t="s">
        <v>2479</v>
      </c>
      <c r="M257" s="18">
        <v>-1</v>
      </c>
    </row>
    <row r="258" spans="1:13" x14ac:dyDescent="0.25">
      <c r="A258" s="7" t="s">
        <v>2172</v>
      </c>
      <c r="B258" s="7" t="s">
        <v>1615</v>
      </c>
      <c r="C258" s="7" t="s">
        <v>304</v>
      </c>
      <c r="D258" s="7" t="s">
        <v>2174</v>
      </c>
      <c r="E258" s="7" t="s">
        <v>150</v>
      </c>
      <c r="F258" s="10">
        <v>22370.86722</v>
      </c>
      <c r="G258" s="10">
        <v>8044.3500600000007</v>
      </c>
      <c r="H258" s="10">
        <v>0</v>
      </c>
      <c r="I258" s="10">
        <v>0</v>
      </c>
      <c r="J258" s="11">
        <v>30415.217280000001</v>
      </c>
      <c r="K258" s="13">
        <v>-0.64040955672884281</v>
      </c>
      <c r="L258" s="13">
        <v>-1</v>
      </c>
      <c r="M258" s="7" t="s">
        <v>145</v>
      </c>
    </row>
    <row r="259" spans="1:13" x14ac:dyDescent="0.25">
      <c r="A259" t="s">
        <v>2176</v>
      </c>
      <c r="B259" t="s">
        <v>145</v>
      </c>
      <c r="C259" t="s">
        <v>145</v>
      </c>
      <c r="D259" t="s">
        <v>970</v>
      </c>
      <c r="E259" t="s">
        <v>150</v>
      </c>
      <c r="F259" s="14">
        <v>1235.45904</v>
      </c>
      <c r="G259" s="14">
        <v>0</v>
      </c>
      <c r="H259" s="14">
        <v>0</v>
      </c>
      <c r="I259" s="14">
        <v>0</v>
      </c>
      <c r="J259" s="15">
        <v>1235.45904</v>
      </c>
      <c r="K259" s="18">
        <v>-1</v>
      </c>
      <c r="L259" t="s">
        <v>145</v>
      </c>
      <c r="M259" t="s">
        <v>145</v>
      </c>
    </row>
    <row r="260" spans="1:13" x14ac:dyDescent="0.25">
      <c r="A260" s="7" t="s">
        <v>2181</v>
      </c>
      <c r="B260" s="7" t="s">
        <v>145</v>
      </c>
      <c r="C260" s="7" t="s">
        <v>304</v>
      </c>
      <c r="D260" s="7" t="s">
        <v>2184</v>
      </c>
      <c r="E260" s="7" t="s">
        <v>150</v>
      </c>
      <c r="F260" s="10">
        <v>22374.613809999999</v>
      </c>
      <c r="G260" s="10">
        <v>6591.4662599999992</v>
      </c>
      <c r="H260" s="10">
        <v>0</v>
      </c>
      <c r="I260" s="10">
        <v>0</v>
      </c>
      <c r="J260" s="11">
        <v>28966.08007</v>
      </c>
      <c r="K260" s="13">
        <v>-0.70540424447218653</v>
      </c>
      <c r="L260" s="13">
        <v>-1</v>
      </c>
      <c r="M260" s="7" t="s">
        <v>145</v>
      </c>
    </row>
    <row r="261" spans="1:13" x14ac:dyDescent="0.25">
      <c r="A261" t="s">
        <v>2192</v>
      </c>
      <c r="B261" t="s">
        <v>145</v>
      </c>
      <c r="C261" t="s">
        <v>304</v>
      </c>
      <c r="D261" t="s">
        <v>183</v>
      </c>
      <c r="E261" t="s">
        <v>150</v>
      </c>
      <c r="F261" s="14">
        <v>1289.1600000000001</v>
      </c>
      <c r="G261" s="14">
        <v>287.32751999999999</v>
      </c>
      <c r="H261" s="14">
        <v>0</v>
      </c>
      <c r="I261" s="14">
        <v>0</v>
      </c>
      <c r="J261" s="15">
        <v>1576.4875199999999</v>
      </c>
      <c r="K261" s="18">
        <v>-0.77712035744205532</v>
      </c>
      <c r="L261" s="18">
        <v>-1</v>
      </c>
      <c r="M261" t="s">
        <v>145</v>
      </c>
    </row>
    <row r="262" spans="1:13" x14ac:dyDescent="0.25">
      <c r="A262" s="7" t="s">
        <v>2197</v>
      </c>
      <c r="B262" s="7" t="s">
        <v>2103</v>
      </c>
      <c r="C262" s="7" t="s">
        <v>304</v>
      </c>
      <c r="D262" s="7" t="s">
        <v>2117</v>
      </c>
      <c r="E262" s="7" t="s">
        <v>150</v>
      </c>
      <c r="F262" s="10">
        <v>47944.355080000001</v>
      </c>
      <c r="G262" s="10">
        <v>2386.9843500000002</v>
      </c>
      <c r="H262" s="10">
        <v>2109.7174799999998</v>
      </c>
      <c r="I262" s="10">
        <v>0</v>
      </c>
      <c r="J262" s="11">
        <v>52441.056909999999</v>
      </c>
      <c r="K262" s="13">
        <v>-0.95021344335496694</v>
      </c>
      <c r="L262" s="13">
        <v>-0.11615780807276779</v>
      </c>
      <c r="M262" s="13">
        <v>-1</v>
      </c>
    </row>
    <row r="263" spans="1:13" x14ac:dyDescent="0.25">
      <c r="A263" t="s">
        <v>2210</v>
      </c>
      <c r="B263" t="s">
        <v>1615</v>
      </c>
      <c r="C263" t="s">
        <v>304</v>
      </c>
      <c r="D263" t="s">
        <v>1237</v>
      </c>
      <c r="E263" t="s">
        <v>150</v>
      </c>
      <c r="F263" s="14">
        <v>18020.342550000001</v>
      </c>
      <c r="G263" s="14">
        <v>6555.3495999999996</v>
      </c>
      <c r="H263" s="14">
        <v>0</v>
      </c>
      <c r="I263" s="14">
        <v>0</v>
      </c>
      <c r="J263" s="15">
        <v>24575.692149999999</v>
      </c>
      <c r="K263" s="18">
        <v>-0.63622502836384753</v>
      </c>
      <c r="L263" s="18">
        <v>-1</v>
      </c>
      <c r="M263" t="s">
        <v>145</v>
      </c>
    </row>
    <row r="264" spans="1:13" x14ac:dyDescent="0.25">
      <c r="A264" s="7" t="s">
        <v>2213</v>
      </c>
      <c r="B264" s="7" t="s">
        <v>1615</v>
      </c>
      <c r="C264" s="7" t="s">
        <v>304</v>
      </c>
      <c r="D264" s="7" t="s">
        <v>2215</v>
      </c>
      <c r="E264" s="7" t="s">
        <v>150</v>
      </c>
      <c r="F264" s="10">
        <v>34282.845009999997</v>
      </c>
      <c r="G264" s="10">
        <v>15209.17014</v>
      </c>
      <c r="H264" s="10">
        <v>6187.0027200000004</v>
      </c>
      <c r="I264" s="10">
        <v>665.64</v>
      </c>
      <c r="J264" s="11">
        <v>56344.657870000003</v>
      </c>
      <c r="K264" s="13">
        <v>-0.55636207743074939</v>
      </c>
      <c r="L264" s="13">
        <v>-0.59320576579466144</v>
      </c>
      <c r="M264" s="13">
        <v>-0.8924131715914293</v>
      </c>
    </row>
    <row r="265" spans="1:13" x14ac:dyDescent="0.25">
      <c r="A265" t="s">
        <v>2217</v>
      </c>
      <c r="B265" t="s">
        <v>1615</v>
      </c>
      <c r="C265" t="s">
        <v>304</v>
      </c>
      <c r="D265" t="s">
        <v>2174</v>
      </c>
      <c r="E265" t="s">
        <v>150</v>
      </c>
      <c r="F265" s="14">
        <v>12392.919379999999</v>
      </c>
      <c r="G265" s="14">
        <v>5711.34465</v>
      </c>
      <c r="H265" s="14">
        <v>0</v>
      </c>
      <c r="I265" s="14">
        <v>0</v>
      </c>
      <c r="J265" s="15">
        <v>18104.264029999998</v>
      </c>
      <c r="K265" s="18">
        <v>-0.53914453286792874</v>
      </c>
      <c r="L265" s="18">
        <v>-1</v>
      </c>
      <c r="M265" t="s">
        <v>145</v>
      </c>
    </row>
    <row r="266" spans="1:13" x14ac:dyDescent="0.25">
      <c r="A266" s="7" t="s">
        <v>2219</v>
      </c>
      <c r="B266" s="7" t="s">
        <v>145</v>
      </c>
      <c r="C266" s="7" t="s">
        <v>304</v>
      </c>
      <c r="D266" s="7" t="s">
        <v>2222</v>
      </c>
      <c r="E266" s="7" t="s">
        <v>150</v>
      </c>
      <c r="F266" s="10">
        <v>1366.0024800000001</v>
      </c>
      <c r="G266" s="10">
        <v>0</v>
      </c>
      <c r="H266" s="10">
        <v>0</v>
      </c>
      <c r="I266" s="10">
        <v>0</v>
      </c>
      <c r="J266" s="11">
        <v>1366.0024800000001</v>
      </c>
      <c r="K266" s="13">
        <v>-1</v>
      </c>
      <c r="L266" s="7" t="s">
        <v>145</v>
      </c>
      <c r="M266" s="7" t="s">
        <v>145</v>
      </c>
    </row>
    <row r="267" spans="1:13" x14ac:dyDescent="0.25">
      <c r="A267" t="s">
        <v>2225</v>
      </c>
      <c r="B267" t="s">
        <v>145</v>
      </c>
      <c r="C267" t="s">
        <v>304</v>
      </c>
      <c r="D267" t="s">
        <v>2228</v>
      </c>
      <c r="E267" t="s">
        <v>150</v>
      </c>
      <c r="F267" s="14">
        <v>42354.934620000007</v>
      </c>
      <c r="G267" s="14">
        <v>37542.296680000007</v>
      </c>
      <c r="H267" s="14">
        <v>25562.35284</v>
      </c>
      <c r="I267" s="14">
        <v>0</v>
      </c>
      <c r="J267" s="15">
        <v>105459.58414000001</v>
      </c>
      <c r="K267" s="18">
        <v>-0.1136263810386684</v>
      </c>
      <c r="L267" s="18">
        <v>-0.31910524659995321</v>
      </c>
      <c r="M267" s="18">
        <v>-1</v>
      </c>
    </row>
    <row r="268" spans="1:13" x14ac:dyDescent="0.25">
      <c r="A268" s="7" t="s">
        <v>2235</v>
      </c>
      <c r="B268" s="7" t="s">
        <v>145</v>
      </c>
      <c r="C268" s="7" t="s">
        <v>145</v>
      </c>
      <c r="D268" s="7"/>
      <c r="E268" s="7"/>
      <c r="F268" s="10">
        <v>0</v>
      </c>
      <c r="G268" s="10">
        <v>0</v>
      </c>
      <c r="H268" s="10">
        <v>294838</v>
      </c>
      <c r="I268" s="10">
        <v>72400</v>
      </c>
      <c r="J268" s="11">
        <v>367238</v>
      </c>
      <c r="K268" s="7" t="s">
        <v>145</v>
      </c>
      <c r="L268" s="12" t="s">
        <v>2479</v>
      </c>
      <c r="M268" s="13">
        <v>-0.75444142206906839</v>
      </c>
    </row>
    <row r="269" spans="1:13" x14ac:dyDescent="0.25">
      <c r="A269" t="s">
        <v>2238</v>
      </c>
      <c r="B269" t="s">
        <v>145</v>
      </c>
      <c r="C269" t="s">
        <v>304</v>
      </c>
      <c r="D269" t="s">
        <v>2241</v>
      </c>
      <c r="E269" t="s">
        <v>150</v>
      </c>
      <c r="F269" s="14">
        <v>3992.4364999999998</v>
      </c>
      <c r="G269" s="14">
        <v>0</v>
      </c>
      <c r="H269" s="14">
        <v>0</v>
      </c>
      <c r="I269" s="14">
        <v>0</v>
      </c>
      <c r="J269" s="15">
        <v>3992.4364999999998</v>
      </c>
      <c r="K269" s="18">
        <v>-1</v>
      </c>
      <c r="L269" t="s">
        <v>145</v>
      </c>
      <c r="M269" t="s">
        <v>145</v>
      </c>
    </row>
    <row r="270" spans="1:13" x14ac:dyDescent="0.25">
      <c r="A270" s="7" t="s">
        <v>2244</v>
      </c>
      <c r="B270" s="7" t="s">
        <v>145</v>
      </c>
      <c r="C270" s="7" t="s">
        <v>304</v>
      </c>
      <c r="D270" s="7" t="s">
        <v>2247</v>
      </c>
      <c r="E270" s="7" t="s">
        <v>150</v>
      </c>
      <c r="F270" s="10">
        <v>556.33344</v>
      </c>
      <c r="G270" s="10">
        <v>0</v>
      </c>
      <c r="H270" s="10">
        <v>0</v>
      </c>
      <c r="I270" s="10">
        <v>0</v>
      </c>
      <c r="J270" s="11">
        <v>556.33344</v>
      </c>
      <c r="K270" s="13">
        <v>-1</v>
      </c>
      <c r="L270" s="7" t="s">
        <v>145</v>
      </c>
      <c r="M270" s="7" t="s">
        <v>145</v>
      </c>
    </row>
    <row r="271" spans="1:13" x14ac:dyDescent="0.25">
      <c r="A271" t="s">
        <v>2250</v>
      </c>
      <c r="B271" t="s">
        <v>145</v>
      </c>
      <c r="C271" t="s">
        <v>304</v>
      </c>
      <c r="D271" t="s">
        <v>2241</v>
      </c>
      <c r="E271" t="s">
        <v>150</v>
      </c>
      <c r="F271" s="14">
        <v>6755.5020000000004</v>
      </c>
      <c r="G271" s="14">
        <v>0</v>
      </c>
      <c r="H271" s="14">
        <v>0</v>
      </c>
      <c r="I271" s="14">
        <v>0</v>
      </c>
      <c r="J271" s="15">
        <v>6755.5020000000004</v>
      </c>
      <c r="K271" s="18">
        <v>-1</v>
      </c>
      <c r="L271" t="s">
        <v>145</v>
      </c>
      <c r="M271" t="s">
        <v>145</v>
      </c>
    </row>
    <row r="272" spans="1:13" x14ac:dyDescent="0.25">
      <c r="A272" s="7" t="s">
        <v>2255</v>
      </c>
      <c r="B272" s="7" t="s">
        <v>145</v>
      </c>
      <c r="C272" s="7" t="s">
        <v>145</v>
      </c>
      <c r="D272" s="7" t="s">
        <v>171</v>
      </c>
      <c r="E272" s="7" t="s">
        <v>150</v>
      </c>
      <c r="F272" s="10">
        <v>1067.37157</v>
      </c>
      <c r="G272" s="10">
        <v>0</v>
      </c>
      <c r="H272" s="10">
        <v>0</v>
      </c>
      <c r="I272" s="10">
        <v>0</v>
      </c>
      <c r="J272" s="11">
        <v>1067.37157</v>
      </c>
      <c r="K272" s="13">
        <v>-1</v>
      </c>
      <c r="L272" s="7" t="s">
        <v>145</v>
      </c>
      <c r="M272" s="7" t="s">
        <v>145</v>
      </c>
    </row>
    <row r="273" spans="1:13" x14ac:dyDescent="0.25">
      <c r="A273" t="s">
        <v>2265</v>
      </c>
      <c r="B273" t="s">
        <v>2260</v>
      </c>
      <c r="C273" t="s">
        <v>145</v>
      </c>
      <c r="D273" t="s">
        <v>171</v>
      </c>
      <c r="E273" t="s">
        <v>150</v>
      </c>
      <c r="F273" s="14">
        <v>1196.28188</v>
      </c>
      <c r="G273" s="14">
        <v>0</v>
      </c>
      <c r="H273" s="14">
        <v>0</v>
      </c>
      <c r="I273" s="14">
        <v>0</v>
      </c>
      <c r="J273" s="15">
        <v>1196.28188</v>
      </c>
      <c r="K273" s="18">
        <v>-1</v>
      </c>
      <c r="L273" t="s">
        <v>145</v>
      </c>
      <c r="M273" t="s">
        <v>145</v>
      </c>
    </row>
    <row r="274" spans="1:13" x14ac:dyDescent="0.25">
      <c r="A274" s="7" t="s">
        <v>2268</v>
      </c>
      <c r="B274" s="7" t="s">
        <v>381</v>
      </c>
      <c r="C274" s="7" t="s">
        <v>145</v>
      </c>
      <c r="D274" s="7" t="s">
        <v>402</v>
      </c>
      <c r="E274" s="7" t="s">
        <v>150</v>
      </c>
      <c r="F274" s="10">
        <v>730.29</v>
      </c>
      <c r="G274" s="10">
        <v>1186.6500000000001</v>
      </c>
      <c r="H274" s="10">
        <v>2478.4087199999999</v>
      </c>
      <c r="I274" s="10">
        <v>0</v>
      </c>
      <c r="J274" s="11">
        <v>4395.34872</v>
      </c>
      <c r="K274" s="19">
        <v>0.62490243601856788</v>
      </c>
      <c r="L274" s="19">
        <v>1.0885760080900011</v>
      </c>
      <c r="M274" s="13">
        <v>-1</v>
      </c>
    </row>
    <row r="275" spans="1:13" x14ac:dyDescent="0.25">
      <c r="A275" t="s">
        <v>2270</v>
      </c>
      <c r="B275" t="s">
        <v>2271</v>
      </c>
      <c r="C275" t="s">
        <v>304</v>
      </c>
      <c r="D275" t="s">
        <v>323</v>
      </c>
      <c r="E275" t="s">
        <v>150</v>
      </c>
      <c r="F275" s="14">
        <v>43450.141040000002</v>
      </c>
      <c r="G275" s="14">
        <v>27051.157009999999</v>
      </c>
      <c r="H275" s="14">
        <v>26821.074840000001</v>
      </c>
      <c r="I275" s="14">
        <v>0</v>
      </c>
      <c r="J275" s="15">
        <v>97322.372889999999</v>
      </c>
      <c r="K275" s="18">
        <v>-0.37742073184303759</v>
      </c>
      <c r="L275" s="17">
        <v>-8.5054465476261665E-3</v>
      </c>
      <c r="M275" s="18">
        <v>-1</v>
      </c>
    </row>
    <row r="276" spans="1:13" x14ac:dyDescent="0.25">
      <c r="A276" s="7" t="s">
        <v>2276</v>
      </c>
      <c r="B276" s="7" t="s">
        <v>2271</v>
      </c>
      <c r="C276" s="7" t="s">
        <v>304</v>
      </c>
      <c r="D276" s="7" t="s">
        <v>502</v>
      </c>
      <c r="E276" s="7" t="s">
        <v>150</v>
      </c>
      <c r="F276" s="10">
        <v>21997.31609</v>
      </c>
      <c r="G276" s="10">
        <v>23602.075949999999</v>
      </c>
      <c r="H276" s="10">
        <v>36408.52087</v>
      </c>
      <c r="I276" s="10">
        <v>17808.70379</v>
      </c>
      <c r="J276" s="11">
        <v>99816.616700000013</v>
      </c>
      <c r="K276" s="19">
        <v>7.2952529910206967E-2</v>
      </c>
      <c r="L276" s="19">
        <v>0.54259824208387042</v>
      </c>
      <c r="M276" s="13">
        <v>-0.51086439755167123</v>
      </c>
    </row>
    <row r="277" spans="1:13" x14ac:dyDescent="0.25">
      <c r="A277" t="s">
        <v>2279</v>
      </c>
      <c r="B277" t="s">
        <v>381</v>
      </c>
      <c r="C277" t="s">
        <v>304</v>
      </c>
      <c r="D277" t="s">
        <v>390</v>
      </c>
      <c r="E277" t="s">
        <v>150</v>
      </c>
      <c r="F277" s="14">
        <v>6634.1713999999993</v>
      </c>
      <c r="G277" s="14">
        <v>8641.9169000000002</v>
      </c>
      <c r="H277" s="14">
        <v>12038.30984</v>
      </c>
      <c r="I277" s="14">
        <v>2924.5761600000001</v>
      </c>
      <c r="J277" s="15">
        <v>30238.974300000002</v>
      </c>
      <c r="K277" s="16">
        <v>0.30263696533375678</v>
      </c>
      <c r="L277" s="16">
        <v>0.39301383932539308</v>
      </c>
      <c r="M277" s="18">
        <v>-0.75706089983807889</v>
      </c>
    </row>
    <row r="278" spans="1:13" x14ac:dyDescent="0.25">
      <c r="A278" s="7" t="s">
        <v>2281</v>
      </c>
      <c r="B278" s="7" t="s">
        <v>381</v>
      </c>
      <c r="C278" s="7" t="s">
        <v>304</v>
      </c>
      <c r="D278" s="7" t="s">
        <v>2074</v>
      </c>
      <c r="E278" s="7" t="s">
        <v>150</v>
      </c>
      <c r="F278" s="10">
        <v>4639.4332000000004</v>
      </c>
      <c r="G278" s="10">
        <v>6491.9868000000006</v>
      </c>
      <c r="H278" s="10">
        <v>2937.9782399999999</v>
      </c>
      <c r="I278" s="10">
        <v>0</v>
      </c>
      <c r="J278" s="11">
        <v>14069.39824</v>
      </c>
      <c r="K278" s="19">
        <v>0.39930601867486742</v>
      </c>
      <c r="L278" s="13">
        <v>-0.54744543842880278</v>
      </c>
      <c r="M278" s="13">
        <v>-1</v>
      </c>
    </row>
    <row r="279" spans="1:13" x14ac:dyDescent="0.25">
      <c r="A279" t="s">
        <v>2285</v>
      </c>
      <c r="B279" t="s">
        <v>145</v>
      </c>
      <c r="C279" t="s">
        <v>304</v>
      </c>
      <c r="D279" t="s">
        <v>1652</v>
      </c>
      <c r="E279" t="s">
        <v>150</v>
      </c>
      <c r="F279" s="14">
        <v>7331.8341399999999</v>
      </c>
      <c r="G279" s="14">
        <v>8248.24064</v>
      </c>
      <c r="H279" s="14">
        <v>0</v>
      </c>
      <c r="I279" s="14">
        <v>0</v>
      </c>
      <c r="J279" s="15">
        <v>15580.074780000001</v>
      </c>
      <c r="K279" s="16">
        <v>0.12499007513009559</v>
      </c>
      <c r="L279" s="18">
        <v>-1</v>
      </c>
      <c r="M279" t="s">
        <v>145</v>
      </c>
    </row>
    <row r="280" spans="1:13" x14ac:dyDescent="0.25">
      <c r="A280" s="7" t="s">
        <v>2288</v>
      </c>
      <c r="B280" s="7" t="s">
        <v>381</v>
      </c>
      <c r="C280" s="7" t="s">
        <v>145</v>
      </c>
      <c r="D280" s="7" t="s">
        <v>2117</v>
      </c>
      <c r="E280" s="7" t="s">
        <v>150</v>
      </c>
      <c r="F280" s="10">
        <v>0</v>
      </c>
      <c r="G280" s="10">
        <v>1103.8499999999999</v>
      </c>
      <c r="H280" s="10">
        <v>2225.6013600000001</v>
      </c>
      <c r="I280" s="10">
        <v>0</v>
      </c>
      <c r="J280" s="11">
        <v>3329.45136</v>
      </c>
      <c r="K280" s="12" t="s">
        <v>2479</v>
      </c>
      <c r="L280" s="19">
        <v>1.016217203424379</v>
      </c>
      <c r="M280" s="13">
        <v>-1</v>
      </c>
    </row>
    <row r="281" spans="1:13" x14ac:dyDescent="0.25">
      <c r="A281" t="s">
        <v>2291</v>
      </c>
      <c r="B281" t="s">
        <v>381</v>
      </c>
      <c r="C281" t="s">
        <v>145</v>
      </c>
      <c r="D281" t="s">
        <v>2293</v>
      </c>
      <c r="E281" t="s">
        <v>150</v>
      </c>
      <c r="F281" s="14">
        <v>941.67</v>
      </c>
      <c r="G281" s="14">
        <v>4477.7672300000004</v>
      </c>
      <c r="H281" s="14">
        <v>1812.49872</v>
      </c>
      <c r="I281" s="14">
        <v>213.27</v>
      </c>
      <c r="J281" s="15">
        <v>7445.2059500000014</v>
      </c>
      <c r="K281" s="16">
        <v>3.7551342083744839</v>
      </c>
      <c r="L281" s="18">
        <v>-0.59522265743143599</v>
      </c>
      <c r="M281" s="18">
        <v>-0.8823337100067028</v>
      </c>
    </row>
    <row r="282" spans="1:13" x14ac:dyDescent="0.25">
      <c r="A282" s="7" t="s">
        <v>2294</v>
      </c>
      <c r="B282" s="7" t="s">
        <v>381</v>
      </c>
      <c r="C282" s="7" t="s">
        <v>145</v>
      </c>
      <c r="D282" s="7" t="s">
        <v>2293</v>
      </c>
      <c r="E282" s="7" t="s">
        <v>150</v>
      </c>
      <c r="F282" s="10">
        <v>0</v>
      </c>
      <c r="G282" s="10">
        <v>5972.6565099999998</v>
      </c>
      <c r="H282" s="10">
        <v>1782.70344</v>
      </c>
      <c r="I282" s="10">
        <v>0</v>
      </c>
      <c r="J282" s="11">
        <v>7755.35995</v>
      </c>
      <c r="K282" s="12" t="s">
        <v>2479</v>
      </c>
      <c r="L282" s="13">
        <v>-0.70152252402005277</v>
      </c>
      <c r="M282" s="13">
        <v>-1</v>
      </c>
    </row>
    <row r="283" spans="1:13" x14ac:dyDescent="0.25">
      <c r="A283" t="s">
        <v>2297</v>
      </c>
      <c r="B283" t="s">
        <v>381</v>
      </c>
      <c r="C283" t="s">
        <v>304</v>
      </c>
      <c r="D283" t="s">
        <v>2117</v>
      </c>
      <c r="E283" t="s">
        <v>150</v>
      </c>
      <c r="F283" s="14">
        <v>1006.32</v>
      </c>
      <c r="G283" s="14">
        <v>1009.68</v>
      </c>
      <c r="H283" s="14">
        <v>3654.5793600000002</v>
      </c>
      <c r="I283" s="14">
        <v>0</v>
      </c>
      <c r="J283" s="15">
        <v>5670.5793599999997</v>
      </c>
      <c r="K283" s="17">
        <v>3.3388981636059099E-3</v>
      </c>
      <c r="L283" s="16">
        <v>2.6195421915854529</v>
      </c>
      <c r="M283" s="18">
        <v>-1</v>
      </c>
    </row>
    <row r="284" spans="1:13" x14ac:dyDescent="0.25">
      <c r="A284" s="7" t="s">
        <v>2297</v>
      </c>
      <c r="B284" s="7" t="s">
        <v>381</v>
      </c>
      <c r="C284" s="7" t="s">
        <v>304</v>
      </c>
      <c r="D284" s="7" t="s">
        <v>2300</v>
      </c>
      <c r="E284" s="7" t="s">
        <v>150</v>
      </c>
      <c r="F284" s="10">
        <v>0</v>
      </c>
      <c r="G284" s="10">
        <v>1525.71</v>
      </c>
      <c r="H284" s="10">
        <v>1921.47984</v>
      </c>
      <c r="I284" s="10">
        <v>0</v>
      </c>
      <c r="J284" s="11">
        <v>3447.18984</v>
      </c>
      <c r="K284" s="12" t="s">
        <v>2479</v>
      </c>
      <c r="L284" s="19">
        <v>0.25940043651807998</v>
      </c>
      <c r="M284" s="13">
        <v>-1</v>
      </c>
    </row>
    <row r="285" spans="1:13" x14ac:dyDescent="0.25">
      <c r="A285" t="s">
        <v>2302</v>
      </c>
      <c r="B285" t="s">
        <v>381</v>
      </c>
      <c r="C285" t="s">
        <v>304</v>
      </c>
      <c r="D285" t="s">
        <v>2304</v>
      </c>
      <c r="E285" t="s">
        <v>150</v>
      </c>
      <c r="F285" s="14">
        <v>0</v>
      </c>
      <c r="G285" s="14">
        <v>1525.71</v>
      </c>
      <c r="H285" s="14">
        <v>1833.6967199999999</v>
      </c>
      <c r="I285" s="14">
        <v>0</v>
      </c>
      <c r="J285" s="15">
        <v>3359.40672</v>
      </c>
      <c r="K285" s="21" t="s">
        <v>2479</v>
      </c>
      <c r="L285" s="16">
        <v>0.20186452209135411</v>
      </c>
      <c r="M285" s="18">
        <v>-1</v>
      </c>
    </row>
    <row r="286" spans="1:13" x14ac:dyDescent="0.25">
      <c r="A286" s="7" t="s">
        <v>2305</v>
      </c>
      <c r="B286" s="7" t="s">
        <v>145</v>
      </c>
      <c r="C286" s="7" t="s">
        <v>145</v>
      </c>
      <c r="D286" s="7" t="s">
        <v>995</v>
      </c>
      <c r="E286" s="7" t="s">
        <v>150</v>
      </c>
      <c r="F286" s="10">
        <v>3522.7447000000002</v>
      </c>
      <c r="G286" s="10">
        <v>0</v>
      </c>
      <c r="H286" s="10">
        <v>0</v>
      </c>
      <c r="I286" s="10">
        <v>0</v>
      </c>
      <c r="J286" s="11">
        <v>3522.7447000000002</v>
      </c>
      <c r="K286" s="13">
        <v>-1</v>
      </c>
      <c r="L286" s="7" t="s">
        <v>145</v>
      </c>
      <c r="M286" s="7" t="s">
        <v>145</v>
      </c>
    </row>
    <row r="287" spans="1:13" x14ac:dyDescent="0.25">
      <c r="A287" t="s">
        <v>2310</v>
      </c>
      <c r="B287" t="s">
        <v>145</v>
      </c>
      <c r="C287" t="s">
        <v>145</v>
      </c>
      <c r="D287" t="s">
        <v>183</v>
      </c>
      <c r="E287" t="s">
        <v>150</v>
      </c>
      <c r="F287" s="14">
        <v>0</v>
      </c>
      <c r="G287" s="14">
        <v>0</v>
      </c>
      <c r="H287" s="14">
        <v>16536.769919999999</v>
      </c>
      <c r="I287" s="14">
        <v>23960.646239999998</v>
      </c>
      <c r="J287" s="15">
        <v>40497.416160000001</v>
      </c>
      <c r="K287" t="s">
        <v>145</v>
      </c>
      <c r="L287" s="21" t="s">
        <v>2479</v>
      </c>
      <c r="M287" s="16">
        <v>0.44893146339427348</v>
      </c>
    </row>
    <row r="288" spans="1:13" x14ac:dyDescent="0.25">
      <c r="A288" s="7" t="s">
        <v>2315</v>
      </c>
      <c r="B288" s="7" t="s">
        <v>145</v>
      </c>
      <c r="C288" s="7" t="s">
        <v>639</v>
      </c>
      <c r="D288" s="7" t="s">
        <v>159</v>
      </c>
      <c r="E288" s="7" t="s">
        <v>150</v>
      </c>
      <c r="F288" s="10">
        <v>56270.6656</v>
      </c>
      <c r="G288" s="10">
        <v>68208.423920000001</v>
      </c>
      <c r="H288" s="10">
        <v>24805.154879999998</v>
      </c>
      <c r="I288" s="10">
        <v>0</v>
      </c>
      <c r="J288" s="11">
        <v>149284.2444</v>
      </c>
      <c r="K288" s="19">
        <v>0.2121488735331398</v>
      </c>
      <c r="L288" s="13">
        <v>-0.63633297099646569</v>
      </c>
      <c r="M288" s="13">
        <v>-1</v>
      </c>
    </row>
    <row r="289" spans="1:13" x14ac:dyDescent="0.25">
      <c r="A289" t="s">
        <v>2320</v>
      </c>
      <c r="B289" t="s">
        <v>145</v>
      </c>
      <c r="C289" t="s">
        <v>145</v>
      </c>
      <c r="D289" t="s">
        <v>2203</v>
      </c>
      <c r="E289" t="s">
        <v>150</v>
      </c>
      <c r="F289" s="14">
        <v>709360.5</v>
      </c>
      <c r="G289" s="14">
        <v>4981.26</v>
      </c>
      <c r="H289" s="14">
        <v>503013.15</v>
      </c>
      <c r="I289" s="14">
        <v>81096</v>
      </c>
      <c r="J289" s="15">
        <v>1298450.9099999999</v>
      </c>
      <c r="K289" s="18">
        <v>-0.99297781593421119</v>
      </c>
      <c r="L289" s="16">
        <v>99.981107189747178</v>
      </c>
      <c r="M289" s="18">
        <v>-0.83877956272117338</v>
      </c>
    </row>
    <row r="290" spans="1:13" x14ac:dyDescent="0.25">
      <c r="A290" s="7" t="s">
        <v>2325</v>
      </c>
      <c r="B290" s="7" t="s">
        <v>1435</v>
      </c>
      <c r="C290" s="7" t="s">
        <v>304</v>
      </c>
      <c r="D290" s="7" t="s">
        <v>1208</v>
      </c>
      <c r="E290" s="7" t="s">
        <v>150</v>
      </c>
      <c r="F290" s="10">
        <v>20689.4964</v>
      </c>
      <c r="G290" s="10">
        <v>14904.6072</v>
      </c>
      <c r="H290" s="10">
        <v>23464.3452</v>
      </c>
      <c r="I290" s="10">
        <v>0</v>
      </c>
      <c r="J290" s="11">
        <v>59058.448799999998</v>
      </c>
      <c r="K290" s="13">
        <v>-0.27960512368971918</v>
      </c>
      <c r="L290" s="19">
        <v>0.57430148175927775</v>
      </c>
      <c r="M290" s="13">
        <v>-1</v>
      </c>
    </row>
    <row r="291" spans="1:13" x14ac:dyDescent="0.25">
      <c r="A291" t="s">
        <v>2328</v>
      </c>
      <c r="B291" t="s">
        <v>1435</v>
      </c>
      <c r="C291" t="s">
        <v>304</v>
      </c>
      <c r="D291" t="s">
        <v>615</v>
      </c>
      <c r="E291" t="s">
        <v>150</v>
      </c>
      <c r="F291" s="14">
        <v>1653.1965600000001</v>
      </c>
      <c r="G291" s="14">
        <v>4461.9384</v>
      </c>
      <c r="H291" s="14">
        <v>6502.5432000000001</v>
      </c>
      <c r="I291" s="14">
        <v>0</v>
      </c>
      <c r="J291" s="15">
        <v>12617.678159999999</v>
      </c>
      <c r="K291" s="16">
        <v>1.6989763395104081</v>
      </c>
      <c r="L291" s="16">
        <v>0.45733594170641167</v>
      </c>
      <c r="M291" s="18">
        <v>-1</v>
      </c>
    </row>
    <row r="292" spans="1:13" x14ac:dyDescent="0.25">
      <c r="A292" s="7" t="s">
        <v>2332</v>
      </c>
      <c r="B292" s="7" t="s">
        <v>1435</v>
      </c>
      <c r="C292" s="7" t="s">
        <v>304</v>
      </c>
      <c r="D292" s="7" t="s">
        <v>615</v>
      </c>
      <c r="E292" s="7" t="s">
        <v>150</v>
      </c>
      <c r="F292" s="10">
        <v>0</v>
      </c>
      <c r="G292" s="10">
        <v>2015.8848</v>
      </c>
      <c r="H292" s="10">
        <v>2892.0549599999999</v>
      </c>
      <c r="I292" s="10">
        <v>0</v>
      </c>
      <c r="J292" s="11">
        <v>4907.9397600000002</v>
      </c>
      <c r="K292" s="12" t="s">
        <v>2479</v>
      </c>
      <c r="L292" s="19">
        <v>0.4346330504600262</v>
      </c>
      <c r="M292" s="13">
        <v>-1</v>
      </c>
    </row>
    <row r="293" spans="1:13" x14ac:dyDescent="0.25">
      <c r="A293" t="s">
        <v>2343</v>
      </c>
      <c r="B293" t="s">
        <v>2344</v>
      </c>
      <c r="C293" t="s">
        <v>1059</v>
      </c>
      <c r="D293" t="s">
        <v>2347</v>
      </c>
      <c r="E293" t="s">
        <v>150</v>
      </c>
      <c r="F293" s="14">
        <v>3527.1683400000002</v>
      </c>
      <c r="G293" s="14">
        <v>0</v>
      </c>
      <c r="H293" s="14">
        <v>0</v>
      </c>
      <c r="I293" s="14">
        <v>0</v>
      </c>
      <c r="J293" s="15">
        <v>3527.1683400000002</v>
      </c>
      <c r="K293" s="18">
        <v>-1</v>
      </c>
      <c r="L293" t="s">
        <v>145</v>
      </c>
      <c r="M293" t="s">
        <v>145</v>
      </c>
    </row>
    <row r="294" spans="1:13" x14ac:dyDescent="0.25">
      <c r="A294" s="7" t="s">
        <v>2349</v>
      </c>
      <c r="B294" s="7" t="s">
        <v>145</v>
      </c>
      <c r="C294" s="7" t="s">
        <v>145</v>
      </c>
      <c r="D294" s="7" t="s">
        <v>1144</v>
      </c>
      <c r="E294" s="7" t="s">
        <v>150</v>
      </c>
      <c r="F294" s="10">
        <v>0</v>
      </c>
      <c r="G294" s="10">
        <v>0</v>
      </c>
      <c r="H294" s="10">
        <v>2030.8309999999999</v>
      </c>
      <c r="I294" s="10">
        <v>715.87090999999998</v>
      </c>
      <c r="J294" s="11">
        <v>2746.7019100000002</v>
      </c>
      <c r="K294" s="7" t="s">
        <v>145</v>
      </c>
      <c r="L294" s="12" t="s">
        <v>2479</v>
      </c>
      <c r="M294" s="13">
        <v>-0.64749853138936719</v>
      </c>
    </row>
    <row r="295" spans="1:13" x14ac:dyDescent="0.25">
      <c r="A295" t="s">
        <v>2354</v>
      </c>
      <c r="B295" t="s">
        <v>145</v>
      </c>
      <c r="C295" t="s">
        <v>287</v>
      </c>
      <c r="D295" t="s">
        <v>2357</v>
      </c>
      <c r="E295" t="s">
        <v>150</v>
      </c>
      <c r="F295" s="14">
        <v>542520</v>
      </c>
      <c r="G295" s="14">
        <v>287636.2</v>
      </c>
      <c r="H295" s="14">
        <v>77182.490000000005</v>
      </c>
      <c r="I295" s="14">
        <v>0</v>
      </c>
      <c r="J295" s="15">
        <v>907338.69</v>
      </c>
      <c r="K295" s="18">
        <v>-0.46981456904814572</v>
      </c>
      <c r="L295" s="18">
        <v>-0.73166628539801326</v>
      </c>
      <c r="M295" s="18">
        <v>-1</v>
      </c>
    </row>
    <row r="296" spans="1:13" x14ac:dyDescent="0.25">
      <c r="A296" s="7" t="s">
        <v>2358</v>
      </c>
      <c r="B296" s="7" t="s">
        <v>145</v>
      </c>
      <c r="C296" s="7" t="s">
        <v>311</v>
      </c>
      <c r="D296" s="7" t="s">
        <v>183</v>
      </c>
      <c r="E296" s="7" t="s">
        <v>150</v>
      </c>
      <c r="F296" s="10">
        <v>1440.7808500000001</v>
      </c>
      <c r="G296" s="10">
        <v>0</v>
      </c>
      <c r="H296" s="10">
        <v>0</v>
      </c>
      <c r="I296" s="10">
        <v>0</v>
      </c>
      <c r="J296" s="11">
        <v>1440.7808500000001</v>
      </c>
      <c r="K296" s="13">
        <v>-1</v>
      </c>
      <c r="L296" s="7" t="s">
        <v>145</v>
      </c>
      <c r="M296" s="7" t="s">
        <v>145</v>
      </c>
    </row>
    <row r="297" spans="1:13" x14ac:dyDescent="0.25">
      <c r="A297" t="s">
        <v>2395</v>
      </c>
      <c r="B297" t="s">
        <v>145</v>
      </c>
      <c r="C297" t="s">
        <v>304</v>
      </c>
      <c r="D297" t="s">
        <v>615</v>
      </c>
      <c r="E297" t="s">
        <v>150</v>
      </c>
      <c r="F297" s="14">
        <v>0</v>
      </c>
      <c r="G297" s="14">
        <v>2893.5576000000001</v>
      </c>
      <c r="H297" s="14">
        <v>4652.3263200000001</v>
      </c>
      <c r="I297" s="14">
        <v>0</v>
      </c>
      <c r="J297" s="15">
        <v>7545.8839200000002</v>
      </c>
      <c r="K297" s="21" t="s">
        <v>2479</v>
      </c>
      <c r="L297" s="16">
        <v>0.60782226004417539</v>
      </c>
      <c r="M297" s="18">
        <v>-1</v>
      </c>
    </row>
    <row r="298" spans="1:13" x14ac:dyDescent="0.25">
      <c r="A298" s="7" t="s">
        <v>2400</v>
      </c>
      <c r="B298" s="7" t="s">
        <v>145</v>
      </c>
      <c r="C298" s="7" t="s">
        <v>145</v>
      </c>
      <c r="D298" s="7" t="s">
        <v>1677</v>
      </c>
      <c r="E298" s="7" t="s">
        <v>150</v>
      </c>
      <c r="F298" s="10">
        <v>0</v>
      </c>
      <c r="G298" s="10">
        <v>2274.08077</v>
      </c>
      <c r="H298" s="10">
        <v>0</v>
      </c>
      <c r="I298" s="10">
        <v>0</v>
      </c>
      <c r="J298" s="11">
        <v>2274.08077</v>
      </c>
      <c r="K298" s="12" t="s">
        <v>2479</v>
      </c>
      <c r="L298" s="13">
        <v>-1</v>
      </c>
      <c r="M298" s="7" t="s">
        <v>145</v>
      </c>
    </row>
    <row r="299" spans="1:13" x14ac:dyDescent="0.25">
      <c r="A299" t="s">
        <v>2426</v>
      </c>
      <c r="B299" t="s">
        <v>145</v>
      </c>
      <c r="C299" t="s">
        <v>639</v>
      </c>
      <c r="D299" t="s">
        <v>615</v>
      </c>
      <c r="E299" t="s">
        <v>150</v>
      </c>
      <c r="F299" s="14">
        <v>48770.0576</v>
      </c>
      <c r="G299" s="14">
        <v>24385.0288</v>
      </c>
      <c r="H299" s="14">
        <v>0</v>
      </c>
      <c r="I299" s="14">
        <v>0</v>
      </c>
      <c r="J299" s="15">
        <v>73155.0864</v>
      </c>
      <c r="K299" s="18">
        <v>-0.5</v>
      </c>
      <c r="L299" s="18">
        <v>-1</v>
      </c>
      <c r="M299" t="s">
        <v>145</v>
      </c>
    </row>
    <row r="300" spans="1:13" x14ac:dyDescent="0.25">
      <c r="A300" s="7" t="s">
        <v>2431</v>
      </c>
      <c r="B300" s="7" t="s">
        <v>2432</v>
      </c>
      <c r="C300" s="7" t="s">
        <v>304</v>
      </c>
      <c r="D300" s="7" t="s">
        <v>2435</v>
      </c>
      <c r="E300" s="7" t="s">
        <v>150</v>
      </c>
      <c r="F300" s="10">
        <v>46739.07761</v>
      </c>
      <c r="G300" s="10">
        <v>36398.883070000003</v>
      </c>
      <c r="H300" s="10">
        <v>22716.891039999999</v>
      </c>
      <c r="I300" s="10">
        <v>2268.78514</v>
      </c>
      <c r="J300" s="11">
        <v>108123.63686</v>
      </c>
      <c r="K300" s="13">
        <v>-0.2212323192657033</v>
      </c>
      <c r="L300" s="13">
        <v>-0.37589043607980138</v>
      </c>
      <c r="M300" s="13">
        <v>-0.90012783280929098</v>
      </c>
    </row>
    <row r="301" spans="1:13" x14ac:dyDescent="0.25">
      <c r="A301" t="s">
        <v>2431</v>
      </c>
      <c r="B301" t="s">
        <v>2432</v>
      </c>
      <c r="C301" t="s">
        <v>304</v>
      </c>
      <c r="D301" t="s">
        <v>2435</v>
      </c>
      <c r="E301" t="s">
        <v>150</v>
      </c>
      <c r="F301" s="14">
        <v>21473.904879999998</v>
      </c>
      <c r="G301" s="14">
        <v>21530.895560000001</v>
      </c>
      <c r="H301" s="14">
        <v>12760.549940000001</v>
      </c>
      <c r="I301" s="14">
        <v>1633.7760599999999</v>
      </c>
      <c r="J301" s="15">
        <v>57399.12644</v>
      </c>
      <c r="K301" s="17">
        <v>2.6539504723744022E-3</v>
      </c>
      <c r="L301" s="18">
        <v>-0.40733770667177949</v>
      </c>
      <c r="M301" s="18">
        <v>-0.87196664190164208</v>
      </c>
    </row>
    <row r="302" spans="1:13" x14ac:dyDescent="0.25">
      <c r="A302" s="7" t="s">
        <v>2445</v>
      </c>
      <c r="B302" s="7" t="s">
        <v>145</v>
      </c>
      <c r="C302" s="7" t="s">
        <v>417</v>
      </c>
      <c r="D302" s="7" t="s">
        <v>171</v>
      </c>
      <c r="E302" s="7" t="s">
        <v>150</v>
      </c>
      <c r="F302" s="10">
        <v>4400.8762299999999</v>
      </c>
      <c r="G302" s="10">
        <v>0</v>
      </c>
      <c r="H302" s="10">
        <v>0</v>
      </c>
      <c r="I302" s="10">
        <v>0</v>
      </c>
      <c r="J302" s="11">
        <v>4400.8762299999999</v>
      </c>
      <c r="K302" s="13">
        <v>-1</v>
      </c>
      <c r="L302" s="7" t="s">
        <v>145</v>
      </c>
      <c r="M302" s="7" t="s">
        <v>145</v>
      </c>
    </row>
    <row r="303" spans="1:13" x14ac:dyDescent="0.25">
      <c r="A303" t="s">
        <v>2464</v>
      </c>
      <c r="B303" t="s">
        <v>2344</v>
      </c>
      <c r="C303" t="s">
        <v>145</v>
      </c>
      <c r="D303" t="s">
        <v>2203</v>
      </c>
      <c r="E303" t="s">
        <v>150</v>
      </c>
      <c r="F303" s="14">
        <v>5030.1848600000003</v>
      </c>
      <c r="G303" s="14">
        <v>4318.4088000000002</v>
      </c>
      <c r="H303" s="14">
        <v>0</v>
      </c>
      <c r="I303" s="14">
        <v>0</v>
      </c>
      <c r="J303" s="15">
        <v>9348.5936600000005</v>
      </c>
      <c r="K303" s="18">
        <v>-0.14150097457849689</v>
      </c>
      <c r="L303" s="18">
        <v>-1</v>
      </c>
      <c r="M303" t="s">
        <v>145</v>
      </c>
    </row>
    <row r="304" spans="1:13" x14ac:dyDescent="0.25">
      <c r="A304" s="7" t="s">
        <v>2466</v>
      </c>
      <c r="B304" s="7" t="s">
        <v>145</v>
      </c>
      <c r="C304" s="7" t="s">
        <v>287</v>
      </c>
      <c r="D304" s="7" t="s">
        <v>920</v>
      </c>
      <c r="E304" s="7" t="s">
        <v>215</v>
      </c>
      <c r="F304" s="10">
        <v>2147219.0319699999</v>
      </c>
      <c r="G304" s="10">
        <v>1743308.64</v>
      </c>
      <c r="H304" s="10">
        <v>0</v>
      </c>
      <c r="I304" s="10">
        <v>0</v>
      </c>
      <c r="J304" s="11">
        <v>3890527.67197</v>
      </c>
      <c r="K304" s="13">
        <v>-0.1881086120960031</v>
      </c>
      <c r="L304" s="13">
        <v>-1</v>
      </c>
      <c r="M304" s="7" t="s">
        <v>145</v>
      </c>
    </row>
  </sheetData>
  <autoFilter ref="A1:M304" xr:uid="{00000000-0009-0000-0000-000003000000}"/>
  <conditionalFormatting sqref="F2:I304">
    <cfRule type="colorScale" priority="1">
      <colorScale>
        <cfvo type="num" val="0"/>
        <cfvo type="percentile" val="70"/>
        <cfvo type="max"/>
        <color rgb="FFFFFFFF"/>
        <color rgb="FFC7E0F4"/>
        <color rgb="FF1F77D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6A34A"/>
  </sheetPr>
  <dimension ref="A1:G201"/>
  <sheetViews>
    <sheetView showGridLines="0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8" customWidth="1"/>
    <col min="2" max="2" width="22" customWidth="1"/>
    <col min="3" max="3" width="28" customWidth="1"/>
    <col min="4" max="4" width="22" customWidth="1"/>
    <col min="5" max="5" width="28" customWidth="1"/>
    <col min="6" max="6" width="18" customWidth="1"/>
    <col min="7" max="7" width="36" customWidth="1"/>
  </cols>
  <sheetData>
    <row r="1" spans="1:7" ht="32.1" customHeight="1" x14ac:dyDescent="0.25">
      <c r="A1" s="22" t="s">
        <v>46</v>
      </c>
      <c r="B1" s="22" t="s">
        <v>14</v>
      </c>
      <c r="C1" s="22" t="s">
        <v>15</v>
      </c>
      <c r="D1" s="22" t="s">
        <v>2482</v>
      </c>
      <c r="E1" s="22" t="s">
        <v>16</v>
      </c>
      <c r="F1" s="22" t="s">
        <v>2483</v>
      </c>
      <c r="G1" s="22" t="s">
        <v>81</v>
      </c>
    </row>
    <row r="2" spans="1:7" x14ac:dyDescent="0.25">
      <c r="A2" s="23"/>
      <c r="B2" s="23"/>
      <c r="C2" s="23"/>
      <c r="D2" s="23"/>
      <c r="E2" s="23"/>
      <c r="F2" s="23"/>
      <c r="G2" s="23"/>
    </row>
    <row r="3" spans="1:7" x14ac:dyDescent="0.25">
      <c r="A3" s="24"/>
      <c r="B3" s="24"/>
      <c r="C3" s="24"/>
      <c r="D3" s="24"/>
      <c r="E3" s="24"/>
      <c r="F3" s="24"/>
      <c r="G3" s="24"/>
    </row>
    <row r="4" spans="1:7" x14ac:dyDescent="0.25">
      <c r="A4" s="23"/>
      <c r="B4" s="23"/>
      <c r="C4" s="23"/>
      <c r="D4" s="23"/>
      <c r="E4" s="23"/>
      <c r="F4" s="23"/>
      <c r="G4" s="23"/>
    </row>
    <row r="5" spans="1:7" x14ac:dyDescent="0.25">
      <c r="A5" s="24"/>
      <c r="B5" s="24"/>
      <c r="C5" s="24"/>
      <c r="D5" s="24"/>
      <c r="E5" s="24"/>
      <c r="F5" s="24"/>
      <c r="G5" s="24"/>
    </row>
    <row r="6" spans="1:7" x14ac:dyDescent="0.25">
      <c r="A6" s="23"/>
      <c r="B6" s="23"/>
      <c r="C6" s="23"/>
      <c r="D6" s="23"/>
      <c r="E6" s="23"/>
      <c r="F6" s="23"/>
      <c r="G6" s="23"/>
    </row>
    <row r="7" spans="1:7" x14ac:dyDescent="0.25">
      <c r="A7" s="24"/>
      <c r="B7" s="24"/>
      <c r="C7" s="24"/>
      <c r="D7" s="24"/>
      <c r="E7" s="24"/>
      <c r="F7" s="24"/>
      <c r="G7" s="24"/>
    </row>
    <row r="8" spans="1:7" x14ac:dyDescent="0.25">
      <c r="A8" s="23"/>
      <c r="B8" s="23"/>
      <c r="C8" s="23"/>
      <c r="D8" s="23"/>
      <c r="E8" s="23"/>
      <c r="F8" s="23"/>
      <c r="G8" s="23"/>
    </row>
    <row r="9" spans="1:7" x14ac:dyDescent="0.25">
      <c r="A9" s="24"/>
      <c r="B9" s="24"/>
      <c r="C9" s="24"/>
      <c r="D9" s="24"/>
      <c r="E9" s="24"/>
      <c r="F9" s="24"/>
      <c r="G9" s="24"/>
    </row>
    <row r="10" spans="1:7" x14ac:dyDescent="0.25">
      <c r="A10" s="23"/>
      <c r="B10" s="23"/>
      <c r="C10" s="23"/>
      <c r="D10" s="23"/>
      <c r="E10" s="23"/>
      <c r="F10" s="23"/>
      <c r="G10" s="23"/>
    </row>
    <row r="11" spans="1:7" x14ac:dyDescent="0.25">
      <c r="A11" s="24"/>
      <c r="B11" s="24"/>
      <c r="C11" s="24"/>
      <c r="D11" s="24"/>
      <c r="E11" s="24"/>
      <c r="F11" s="24"/>
      <c r="G11" s="24"/>
    </row>
    <row r="12" spans="1:7" x14ac:dyDescent="0.25">
      <c r="A12" s="23"/>
      <c r="B12" s="23"/>
      <c r="C12" s="23"/>
      <c r="D12" s="23"/>
      <c r="E12" s="23"/>
      <c r="F12" s="23"/>
      <c r="G12" s="23"/>
    </row>
    <row r="13" spans="1:7" x14ac:dyDescent="0.25">
      <c r="A13" s="24"/>
      <c r="B13" s="24"/>
      <c r="C13" s="24"/>
      <c r="D13" s="24"/>
      <c r="E13" s="24"/>
      <c r="F13" s="24"/>
      <c r="G13" s="24"/>
    </row>
    <row r="14" spans="1:7" x14ac:dyDescent="0.25">
      <c r="A14" s="23"/>
      <c r="B14" s="23"/>
      <c r="C14" s="23"/>
      <c r="D14" s="23"/>
      <c r="E14" s="23"/>
      <c r="F14" s="23"/>
      <c r="G14" s="23"/>
    </row>
    <row r="15" spans="1:7" x14ac:dyDescent="0.25">
      <c r="A15" s="24"/>
      <c r="B15" s="24"/>
      <c r="C15" s="24"/>
      <c r="D15" s="24"/>
      <c r="E15" s="24"/>
      <c r="F15" s="24"/>
      <c r="G15" s="24"/>
    </row>
    <row r="16" spans="1:7" x14ac:dyDescent="0.25">
      <c r="A16" s="23"/>
      <c r="B16" s="23"/>
      <c r="C16" s="23"/>
      <c r="D16" s="23"/>
      <c r="E16" s="23"/>
      <c r="F16" s="23"/>
      <c r="G16" s="23"/>
    </row>
    <row r="17" spans="1:7" x14ac:dyDescent="0.25">
      <c r="A17" s="24"/>
      <c r="B17" s="24"/>
      <c r="C17" s="24"/>
      <c r="D17" s="24"/>
      <c r="E17" s="24"/>
      <c r="F17" s="24"/>
      <c r="G17" s="24"/>
    </row>
    <row r="18" spans="1:7" x14ac:dyDescent="0.25">
      <c r="A18" s="23"/>
      <c r="B18" s="23"/>
      <c r="C18" s="23"/>
      <c r="D18" s="23"/>
      <c r="E18" s="23"/>
      <c r="F18" s="23"/>
      <c r="G18" s="23"/>
    </row>
    <row r="19" spans="1:7" x14ac:dyDescent="0.25">
      <c r="A19" s="24"/>
      <c r="B19" s="24"/>
      <c r="C19" s="24"/>
      <c r="D19" s="24"/>
      <c r="E19" s="24"/>
      <c r="F19" s="24"/>
      <c r="G19" s="24"/>
    </row>
    <row r="20" spans="1:7" x14ac:dyDescent="0.25">
      <c r="A20" s="23"/>
      <c r="B20" s="23"/>
      <c r="C20" s="23"/>
      <c r="D20" s="23"/>
      <c r="E20" s="23"/>
      <c r="F20" s="23"/>
      <c r="G20" s="23"/>
    </row>
    <row r="21" spans="1:7" x14ac:dyDescent="0.25">
      <c r="A21" s="24"/>
      <c r="B21" s="24"/>
      <c r="C21" s="24"/>
      <c r="D21" s="24"/>
      <c r="E21" s="24"/>
      <c r="F21" s="24"/>
      <c r="G21" s="24"/>
    </row>
    <row r="22" spans="1:7" x14ac:dyDescent="0.25">
      <c r="A22" s="23"/>
      <c r="B22" s="23"/>
      <c r="C22" s="23"/>
      <c r="D22" s="23"/>
      <c r="E22" s="23"/>
      <c r="F22" s="23"/>
      <c r="G22" s="23"/>
    </row>
    <row r="23" spans="1:7" x14ac:dyDescent="0.25">
      <c r="A23" s="24"/>
      <c r="B23" s="24"/>
      <c r="C23" s="24"/>
      <c r="D23" s="24"/>
      <c r="E23" s="24"/>
      <c r="F23" s="24"/>
      <c r="G23" s="24"/>
    </row>
    <row r="24" spans="1:7" x14ac:dyDescent="0.25">
      <c r="A24" s="23"/>
      <c r="B24" s="23"/>
      <c r="C24" s="23"/>
      <c r="D24" s="23"/>
      <c r="E24" s="23"/>
      <c r="F24" s="23"/>
      <c r="G24" s="23"/>
    </row>
    <row r="25" spans="1:7" x14ac:dyDescent="0.25">
      <c r="A25" s="24"/>
      <c r="B25" s="24"/>
      <c r="C25" s="24"/>
      <c r="D25" s="24"/>
      <c r="E25" s="24"/>
      <c r="F25" s="24"/>
      <c r="G25" s="24"/>
    </row>
    <row r="26" spans="1:7" x14ac:dyDescent="0.25">
      <c r="A26" s="23"/>
      <c r="B26" s="23"/>
      <c r="C26" s="23"/>
      <c r="D26" s="23"/>
      <c r="E26" s="23"/>
      <c r="F26" s="23"/>
      <c r="G26" s="23"/>
    </row>
    <row r="27" spans="1:7" x14ac:dyDescent="0.25">
      <c r="A27" s="24"/>
      <c r="B27" s="24"/>
      <c r="C27" s="24"/>
      <c r="D27" s="24"/>
      <c r="E27" s="24"/>
      <c r="F27" s="24"/>
      <c r="G27" s="24"/>
    </row>
    <row r="28" spans="1:7" x14ac:dyDescent="0.25">
      <c r="A28" s="23"/>
      <c r="B28" s="23"/>
      <c r="C28" s="23"/>
      <c r="D28" s="23"/>
      <c r="E28" s="23"/>
      <c r="F28" s="23"/>
      <c r="G28" s="23"/>
    </row>
    <row r="29" spans="1:7" x14ac:dyDescent="0.25">
      <c r="A29" s="24"/>
      <c r="B29" s="24"/>
      <c r="C29" s="24"/>
      <c r="D29" s="24"/>
      <c r="E29" s="24"/>
      <c r="F29" s="24"/>
      <c r="G29" s="24"/>
    </row>
    <row r="30" spans="1:7" x14ac:dyDescent="0.25">
      <c r="A30" s="23"/>
      <c r="B30" s="23"/>
      <c r="C30" s="23"/>
      <c r="D30" s="23"/>
      <c r="E30" s="23"/>
      <c r="F30" s="23"/>
      <c r="G30" s="23"/>
    </row>
    <row r="31" spans="1:7" x14ac:dyDescent="0.25">
      <c r="A31" s="24"/>
      <c r="B31" s="24"/>
      <c r="C31" s="24"/>
      <c r="D31" s="24"/>
      <c r="E31" s="24"/>
      <c r="F31" s="24"/>
      <c r="G31" s="24"/>
    </row>
    <row r="32" spans="1:7" x14ac:dyDescent="0.25">
      <c r="A32" s="23"/>
      <c r="B32" s="23"/>
      <c r="C32" s="23"/>
      <c r="D32" s="23"/>
      <c r="E32" s="23"/>
      <c r="F32" s="23"/>
      <c r="G32" s="23"/>
    </row>
    <row r="33" spans="1:7" x14ac:dyDescent="0.25">
      <c r="A33" s="24"/>
      <c r="B33" s="24"/>
      <c r="C33" s="24"/>
      <c r="D33" s="24"/>
      <c r="E33" s="24"/>
      <c r="F33" s="24"/>
      <c r="G33" s="24"/>
    </row>
    <row r="34" spans="1:7" x14ac:dyDescent="0.25">
      <c r="A34" s="23"/>
      <c r="B34" s="23"/>
      <c r="C34" s="23"/>
      <c r="D34" s="23"/>
      <c r="E34" s="23"/>
      <c r="F34" s="23"/>
      <c r="G34" s="23"/>
    </row>
    <row r="35" spans="1:7" x14ac:dyDescent="0.25">
      <c r="A35" s="24"/>
      <c r="B35" s="24"/>
      <c r="C35" s="24"/>
      <c r="D35" s="24"/>
      <c r="E35" s="24"/>
      <c r="F35" s="24"/>
      <c r="G35" s="24"/>
    </row>
    <row r="36" spans="1:7" x14ac:dyDescent="0.25">
      <c r="A36" s="23"/>
      <c r="B36" s="23"/>
      <c r="C36" s="23"/>
      <c r="D36" s="23"/>
      <c r="E36" s="23"/>
      <c r="F36" s="23"/>
      <c r="G36" s="23"/>
    </row>
    <row r="37" spans="1:7" x14ac:dyDescent="0.25">
      <c r="A37" s="24"/>
      <c r="B37" s="24"/>
      <c r="C37" s="24"/>
      <c r="D37" s="24"/>
      <c r="E37" s="24"/>
      <c r="F37" s="24"/>
      <c r="G37" s="24"/>
    </row>
    <row r="38" spans="1:7" x14ac:dyDescent="0.25">
      <c r="A38" s="23"/>
      <c r="B38" s="23"/>
      <c r="C38" s="23"/>
      <c r="D38" s="23"/>
      <c r="E38" s="23"/>
      <c r="F38" s="23"/>
      <c r="G38" s="23"/>
    </row>
    <row r="39" spans="1:7" x14ac:dyDescent="0.25">
      <c r="A39" s="24"/>
      <c r="B39" s="24"/>
      <c r="C39" s="24"/>
      <c r="D39" s="24"/>
      <c r="E39" s="24"/>
      <c r="F39" s="24"/>
      <c r="G39" s="24"/>
    </row>
    <row r="40" spans="1:7" x14ac:dyDescent="0.25">
      <c r="A40" s="23"/>
      <c r="B40" s="23"/>
      <c r="C40" s="23"/>
      <c r="D40" s="23"/>
      <c r="E40" s="23"/>
      <c r="F40" s="23"/>
      <c r="G40" s="23"/>
    </row>
    <row r="41" spans="1:7" x14ac:dyDescent="0.25">
      <c r="A41" s="24"/>
      <c r="B41" s="24"/>
      <c r="C41" s="24"/>
      <c r="D41" s="24"/>
      <c r="E41" s="24"/>
      <c r="F41" s="24"/>
      <c r="G41" s="24"/>
    </row>
    <row r="42" spans="1:7" x14ac:dyDescent="0.25">
      <c r="A42" s="23"/>
      <c r="B42" s="23"/>
      <c r="C42" s="23"/>
      <c r="D42" s="23"/>
      <c r="E42" s="23"/>
      <c r="F42" s="23"/>
      <c r="G42" s="23"/>
    </row>
    <row r="43" spans="1:7" x14ac:dyDescent="0.25">
      <c r="A43" s="24"/>
      <c r="B43" s="24"/>
      <c r="C43" s="24"/>
      <c r="D43" s="24"/>
      <c r="E43" s="24"/>
      <c r="F43" s="24"/>
      <c r="G43" s="24"/>
    </row>
    <row r="44" spans="1:7" x14ac:dyDescent="0.25">
      <c r="A44" s="23"/>
      <c r="B44" s="23"/>
      <c r="C44" s="23"/>
      <c r="D44" s="23"/>
      <c r="E44" s="23"/>
      <c r="F44" s="23"/>
      <c r="G44" s="23"/>
    </row>
    <row r="45" spans="1:7" x14ac:dyDescent="0.25">
      <c r="A45" s="24"/>
      <c r="B45" s="24"/>
      <c r="C45" s="24"/>
      <c r="D45" s="24"/>
      <c r="E45" s="24"/>
      <c r="F45" s="24"/>
      <c r="G45" s="24"/>
    </row>
    <row r="46" spans="1:7" x14ac:dyDescent="0.25">
      <c r="A46" s="23"/>
      <c r="B46" s="23"/>
      <c r="C46" s="23"/>
      <c r="D46" s="23"/>
      <c r="E46" s="23"/>
      <c r="F46" s="23"/>
      <c r="G46" s="23"/>
    </row>
    <row r="47" spans="1:7" x14ac:dyDescent="0.25">
      <c r="A47" s="24"/>
      <c r="B47" s="24"/>
      <c r="C47" s="24"/>
      <c r="D47" s="24"/>
      <c r="E47" s="24"/>
      <c r="F47" s="24"/>
      <c r="G47" s="24"/>
    </row>
    <row r="48" spans="1:7" x14ac:dyDescent="0.25">
      <c r="A48" s="23"/>
      <c r="B48" s="23"/>
      <c r="C48" s="23"/>
      <c r="D48" s="23"/>
      <c r="E48" s="23"/>
      <c r="F48" s="23"/>
      <c r="G48" s="23"/>
    </row>
    <row r="49" spans="1:7" x14ac:dyDescent="0.25">
      <c r="A49" s="24"/>
      <c r="B49" s="24"/>
      <c r="C49" s="24"/>
      <c r="D49" s="24"/>
      <c r="E49" s="24"/>
      <c r="F49" s="24"/>
      <c r="G49" s="24"/>
    </row>
    <row r="50" spans="1:7" x14ac:dyDescent="0.25">
      <c r="A50" s="23"/>
      <c r="B50" s="23"/>
      <c r="C50" s="23"/>
      <c r="D50" s="23"/>
      <c r="E50" s="23"/>
      <c r="F50" s="23"/>
      <c r="G50" s="23"/>
    </row>
    <row r="51" spans="1:7" x14ac:dyDescent="0.25">
      <c r="A51" s="24"/>
      <c r="B51" s="24"/>
      <c r="C51" s="24"/>
      <c r="D51" s="24"/>
      <c r="E51" s="24"/>
      <c r="F51" s="24"/>
      <c r="G51" s="24"/>
    </row>
    <row r="52" spans="1:7" x14ac:dyDescent="0.25">
      <c r="A52" s="23"/>
      <c r="B52" s="23"/>
      <c r="C52" s="23"/>
      <c r="D52" s="23"/>
      <c r="E52" s="23"/>
      <c r="F52" s="23"/>
      <c r="G52" s="23"/>
    </row>
    <row r="53" spans="1:7" x14ac:dyDescent="0.25">
      <c r="A53" s="24"/>
      <c r="B53" s="24"/>
      <c r="C53" s="24"/>
      <c r="D53" s="24"/>
      <c r="E53" s="24"/>
      <c r="F53" s="24"/>
      <c r="G53" s="24"/>
    </row>
    <row r="54" spans="1:7" x14ac:dyDescent="0.25">
      <c r="A54" s="23"/>
      <c r="B54" s="23"/>
      <c r="C54" s="23"/>
      <c r="D54" s="23"/>
      <c r="E54" s="23"/>
      <c r="F54" s="23"/>
      <c r="G54" s="23"/>
    </row>
    <row r="55" spans="1:7" x14ac:dyDescent="0.25">
      <c r="A55" s="24"/>
      <c r="B55" s="24"/>
      <c r="C55" s="24"/>
      <c r="D55" s="24"/>
      <c r="E55" s="24"/>
      <c r="F55" s="24"/>
      <c r="G55" s="24"/>
    </row>
    <row r="56" spans="1:7" x14ac:dyDescent="0.25">
      <c r="A56" s="23"/>
      <c r="B56" s="23"/>
      <c r="C56" s="23"/>
      <c r="D56" s="23"/>
      <c r="E56" s="23"/>
      <c r="F56" s="23"/>
      <c r="G56" s="23"/>
    </row>
    <row r="57" spans="1:7" x14ac:dyDescent="0.25">
      <c r="A57" s="24"/>
      <c r="B57" s="24"/>
      <c r="C57" s="24"/>
      <c r="D57" s="24"/>
      <c r="E57" s="24"/>
      <c r="F57" s="24"/>
      <c r="G57" s="24"/>
    </row>
    <row r="58" spans="1:7" x14ac:dyDescent="0.25">
      <c r="A58" s="23"/>
      <c r="B58" s="23"/>
      <c r="C58" s="23"/>
      <c r="D58" s="23"/>
      <c r="E58" s="23"/>
      <c r="F58" s="23"/>
      <c r="G58" s="23"/>
    </row>
    <row r="59" spans="1:7" x14ac:dyDescent="0.25">
      <c r="A59" s="24"/>
      <c r="B59" s="24"/>
      <c r="C59" s="24"/>
      <c r="D59" s="24"/>
      <c r="E59" s="24"/>
      <c r="F59" s="24"/>
      <c r="G59" s="24"/>
    </row>
    <row r="60" spans="1:7" x14ac:dyDescent="0.25">
      <c r="A60" s="23"/>
      <c r="B60" s="23"/>
      <c r="C60" s="23"/>
      <c r="D60" s="23"/>
      <c r="E60" s="23"/>
      <c r="F60" s="23"/>
      <c r="G60" s="23"/>
    </row>
    <row r="61" spans="1:7" x14ac:dyDescent="0.25">
      <c r="A61" s="24"/>
      <c r="B61" s="24"/>
      <c r="C61" s="24"/>
      <c r="D61" s="24"/>
      <c r="E61" s="24"/>
      <c r="F61" s="24"/>
      <c r="G61" s="24"/>
    </row>
    <row r="62" spans="1:7" x14ac:dyDescent="0.25">
      <c r="A62" s="23"/>
      <c r="B62" s="23"/>
      <c r="C62" s="23"/>
      <c r="D62" s="23"/>
      <c r="E62" s="23"/>
      <c r="F62" s="23"/>
      <c r="G62" s="23"/>
    </row>
    <row r="63" spans="1:7" x14ac:dyDescent="0.25">
      <c r="A63" s="24"/>
      <c r="B63" s="24"/>
      <c r="C63" s="24"/>
      <c r="D63" s="24"/>
      <c r="E63" s="24"/>
      <c r="F63" s="24"/>
      <c r="G63" s="24"/>
    </row>
    <row r="64" spans="1:7" x14ac:dyDescent="0.25">
      <c r="A64" s="23"/>
      <c r="B64" s="23"/>
      <c r="C64" s="23"/>
      <c r="D64" s="23"/>
      <c r="E64" s="23"/>
      <c r="F64" s="23"/>
      <c r="G64" s="23"/>
    </row>
    <row r="65" spans="1:7" x14ac:dyDescent="0.25">
      <c r="A65" s="24"/>
      <c r="B65" s="24"/>
      <c r="C65" s="24"/>
      <c r="D65" s="24"/>
      <c r="E65" s="24"/>
      <c r="F65" s="24"/>
      <c r="G65" s="24"/>
    </row>
    <row r="66" spans="1:7" x14ac:dyDescent="0.25">
      <c r="A66" s="23"/>
      <c r="B66" s="23"/>
      <c r="C66" s="23"/>
      <c r="D66" s="23"/>
      <c r="E66" s="23"/>
      <c r="F66" s="23"/>
      <c r="G66" s="23"/>
    </row>
    <row r="67" spans="1:7" x14ac:dyDescent="0.25">
      <c r="A67" s="24"/>
      <c r="B67" s="24"/>
      <c r="C67" s="24"/>
      <c r="D67" s="24"/>
      <c r="E67" s="24"/>
      <c r="F67" s="24"/>
      <c r="G67" s="24"/>
    </row>
    <row r="68" spans="1:7" x14ac:dyDescent="0.25">
      <c r="A68" s="23"/>
      <c r="B68" s="23"/>
      <c r="C68" s="23"/>
      <c r="D68" s="23"/>
      <c r="E68" s="23"/>
      <c r="F68" s="23"/>
      <c r="G68" s="23"/>
    </row>
    <row r="69" spans="1:7" x14ac:dyDescent="0.25">
      <c r="A69" s="24"/>
      <c r="B69" s="24"/>
      <c r="C69" s="24"/>
      <c r="D69" s="24"/>
      <c r="E69" s="24"/>
      <c r="F69" s="24"/>
      <c r="G69" s="24"/>
    </row>
    <row r="70" spans="1:7" x14ac:dyDescent="0.25">
      <c r="A70" s="23"/>
      <c r="B70" s="23"/>
      <c r="C70" s="23"/>
      <c r="D70" s="23"/>
      <c r="E70" s="23"/>
      <c r="F70" s="23"/>
      <c r="G70" s="23"/>
    </row>
    <row r="71" spans="1:7" x14ac:dyDescent="0.25">
      <c r="A71" s="24"/>
      <c r="B71" s="24"/>
      <c r="C71" s="24"/>
      <c r="D71" s="24"/>
      <c r="E71" s="24"/>
      <c r="F71" s="24"/>
      <c r="G71" s="24"/>
    </row>
    <row r="72" spans="1:7" x14ac:dyDescent="0.25">
      <c r="A72" s="23"/>
      <c r="B72" s="23"/>
      <c r="C72" s="23"/>
      <c r="D72" s="23"/>
      <c r="E72" s="23"/>
      <c r="F72" s="23"/>
      <c r="G72" s="23"/>
    </row>
    <row r="73" spans="1:7" x14ac:dyDescent="0.25">
      <c r="A73" s="24"/>
      <c r="B73" s="24"/>
      <c r="C73" s="24"/>
      <c r="D73" s="24"/>
      <c r="E73" s="24"/>
      <c r="F73" s="24"/>
      <c r="G73" s="24"/>
    </row>
    <row r="74" spans="1:7" x14ac:dyDescent="0.25">
      <c r="A74" s="23"/>
      <c r="B74" s="23"/>
      <c r="C74" s="23"/>
      <c r="D74" s="23"/>
      <c r="E74" s="23"/>
      <c r="F74" s="23"/>
      <c r="G74" s="23"/>
    </row>
    <row r="75" spans="1:7" x14ac:dyDescent="0.25">
      <c r="A75" s="24"/>
      <c r="B75" s="24"/>
      <c r="C75" s="24"/>
      <c r="D75" s="24"/>
      <c r="E75" s="24"/>
      <c r="F75" s="24"/>
      <c r="G75" s="24"/>
    </row>
    <row r="76" spans="1:7" x14ac:dyDescent="0.25">
      <c r="A76" s="23"/>
      <c r="B76" s="23"/>
      <c r="C76" s="23"/>
      <c r="D76" s="23"/>
      <c r="E76" s="23"/>
      <c r="F76" s="23"/>
      <c r="G76" s="23"/>
    </row>
    <row r="77" spans="1:7" x14ac:dyDescent="0.25">
      <c r="A77" s="24"/>
      <c r="B77" s="24"/>
      <c r="C77" s="24"/>
      <c r="D77" s="24"/>
      <c r="E77" s="24"/>
      <c r="F77" s="24"/>
      <c r="G77" s="24"/>
    </row>
    <row r="78" spans="1:7" x14ac:dyDescent="0.25">
      <c r="A78" s="23"/>
      <c r="B78" s="23"/>
      <c r="C78" s="23"/>
      <c r="D78" s="23"/>
      <c r="E78" s="23"/>
      <c r="F78" s="23"/>
      <c r="G78" s="23"/>
    </row>
    <row r="79" spans="1:7" x14ac:dyDescent="0.25">
      <c r="A79" s="24"/>
      <c r="B79" s="24"/>
      <c r="C79" s="24"/>
      <c r="D79" s="24"/>
      <c r="E79" s="24"/>
      <c r="F79" s="24"/>
      <c r="G79" s="24"/>
    </row>
    <row r="80" spans="1:7" x14ac:dyDescent="0.25">
      <c r="A80" s="23"/>
      <c r="B80" s="23"/>
      <c r="C80" s="23"/>
      <c r="D80" s="23"/>
      <c r="E80" s="23"/>
      <c r="F80" s="23"/>
      <c r="G80" s="23"/>
    </row>
    <row r="81" spans="1:7" x14ac:dyDescent="0.25">
      <c r="A81" s="24"/>
      <c r="B81" s="24"/>
      <c r="C81" s="24"/>
      <c r="D81" s="24"/>
      <c r="E81" s="24"/>
      <c r="F81" s="24"/>
      <c r="G81" s="24"/>
    </row>
    <row r="82" spans="1:7" x14ac:dyDescent="0.25">
      <c r="A82" s="23"/>
      <c r="B82" s="23"/>
      <c r="C82" s="23"/>
      <c r="D82" s="23"/>
      <c r="E82" s="23"/>
      <c r="F82" s="23"/>
      <c r="G82" s="23"/>
    </row>
    <row r="83" spans="1:7" x14ac:dyDescent="0.25">
      <c r="A83" s="24"/>
      <c r="B83" s="24"/>
      <c r="C83" s="24"/>
      <c r="D83" s="24"/>
      <c r="E83" s="24"/>
      <c r="F83" s="24"/>
      <c r="G83" s="24"/>
    </row>
    <row r="84" spans="1:7" x14ac:dyDescent="0.25">
      <c r="A84" s="23"/>
      <c r="B84" s="23"/>
      <c r="C84" s="23"/>
      <c r="D84" s="23"/>
      <c r="E84" s="23"/>
      <c r="F84" s="23"/>
      <c r="G84" s="23"/>
    </row>
    <row r="85" spans="1:7" x14ac:dyDescent="0.25">
      <c r="A85" s="24"/>
      <c r="B85" s="24"/>
      <c r="C85" s="24"/>
      <c r="D85" s="24"/>
      <c r="E85" s="24"/>
      <c r="F85" s="24"/>
      <c r="G85" s="24"/>
    </row>
    <row r="86" spans="1:7" x14ac:dyDescent="0.25">
      <c r="A86" s="23"/>
      <c r="B86" s="23"/>
      <c r="C86" s="23"/>
      <c r="D86" s="23"/>
      <c r="E86" s="23"/>
      <c r="F86" s="23"/>
      <c r="G86" s="23"/>
    </row>
    <row r="87" spans="1:7" x14ac:dyDescent="0.25">
      <c r="A87" s="24"/>
      <c r="B87" s="24"/>
      <c r="C87" s="24"/>
      <c r="D87" s="24"/>
      <c r="E87" s="24"/>
      <c r="F87" s="24"/>
      <c r="G87" s="24"/>
    </row>
    <row r="88" spans="1:7" x14ac:dyDescent="0.25">
      <c r="A88" s="23"/>
      <c r="B88" s="23"/>
      <c r="C88" s="23"/>
      <c r="D88" s="23"/>
      <c r="E88" s="23"/>
      <c r="F88" s="23"/>
      <c r="G88" s="23"/>
    </row>
    <row r="89" spans="1:7" x14ac:dyDescent="0.25">
      <c r="A89" s="24"/>
      <c r="B89" s="24"/>
      <c r="C89" s="24"/>
      <c r="D89" s="24"/>
      <c r="E89" s="24"/>
      <c r="F89" s="24"/>
      <c r="G89" s="24"/>
    </row>
    <row r="90" spans="1:7" x14ac:dyDescent="0.25">
      <c r="A90" s="23"/>
      <c r="B90" s="23"/>
      <c r="C90" s="23"/>
      <c r="D90" s="23"/>
      <c r="E90" s="23"/>
      <c r="F90" s="23"/>
      <c r="G90" s="23"/>
    </row>
    <row r="91" spans="1:7" x14ac:dyDescent="0.25">
      <c r="A91" s="24"/>
      <c r="B91" s="24"/>
      <c r="C91" s="24"/>
      <c r="D91" s="24"/>
      <c r="E91" s="24"/>
      <c r="F91" s="24"/>
      <c r="G91" s="24"/>
    </row>
    <row r="92" spans="1:7" x14ac:dyDescent="0.25">
      <c r="A92" s="23"/>
      <c r="B92" s="23"/>
      <c r="C92" s="23"/>
      <c r="D92" s="23"/>
      <c r="E92" s="23"/>
      <c r="F92" s="23"/>
      <c r="G92" s="23"/>
    </row>
    <row r="93" spans="1:7" x14ac:dyDescent="0.25">
      <c r="A93" s="24"/>
      <c r="B93" s="24"/>
      <c r="C93" s="24"/>
      <c r="D93" s="24"/>
      <c r="E93" s="24"/>
      <c r="F93" s="24"/>
      <c r="G93" s="24"/>
    </row>
    <row r="94" spans="1:7" x14ac:dyDescent="0.25">
      <c r="A94" s="23"/>
      <c r="B94" s="23"/>
      <c r="C94" s="23"/>
      <c r="D94" s="23"/>
      <c r="E94" s="23"/>
      <c r="F94" s="23"/>
      <c r="G94" s="23"/>
    </row>
    <row r="95" spans="1:7" x14ac:dyDescent="0.25">
      <c r="A95" s="24"/>
      <c r="B95" s="24"/>
      <c r="C95" s="24"/>
      <c r="D95" s="24"/>
      <c r="E95" s="24"/>
      <c r="F95" s="24"/>
      <c r="G95" s="24"/>
    </row>
    <row r="96" spans="1:7" x14ac:dyDescent="0.25">
      <c r="A96" s="23"/>
      <c r="B96" s="23"/>
      <c r="C96" s="23"/>
      <c r="D96" s="23"/>
      <c r="E96" s="23"/>
      <c r="F96" s="23"/>
      <c r="G96" s="23"/>
    </row>
    <row r="97" spans="1:7" x14ac:dyDescent="0.25">
      <c r="A97" s="24"/>
      <c r="B97" s="24"/>
      <c r="C97" s="24"/>
      <c r="D97" s="24"/>
      <c r="E97" s="24"/>
      <c r="F97" s="24"/>
      <c r="G97" s="24"/>
    </row>
    <row r="98" spans="1:7" x14ac:dyDescent="0.25">
      <c r="A98" s="23"/>
      <c r="B98" s="23"/>
      <c r="C98" s="23"/>
      <c r="D98" s="23"/>
      <c r="E98" s="23"/>
      <c r="F98" s="23"/>
      <c r="G98" s="23"/>
    </row>
    <row r="99" spans="1:7" x14ac:dyDescent="0.25">
      <c r="A99" s="24"/>
      <c r="B99" s="24"/>
      <c r="C99" s="24"/>
      <c r="D99" s="24"/>
      <c r="E99" s="24"/>
      <c r="F99" s="24"/>
      <c r="G99" s="24"/>
    </row>
    <row r="100" spans="1:7" x14ac:dyDescent="0.25">
      <c r="A100" s="23"/>
      <c r="B100" s="23"/>
      <c r="C100" s="23"/>
      <c r="D100" s="23"/>
      <c r="E100" s="23"/>
      <c r="F100" s="23"/>
      <c r="G100" s="23"/>
    </row>
    <row r="101" spans="1:7" x14ac:dyDescent="0.25">
      <c r="A101" s="24"/>
      <c r="B101" s="24"/>
      <c r="C101" s="24"/>
      <c r="D101" s="24"/>
      <c r="E101" s="24"/>
      <c r="F101" s="24"/>
      <c r="G101" s="24"/>
    </row>
    <row r="102" spans="1:7" x14ac:dyDescent="0.25">
      <c r="A102" s="23"/>
      <c r="B102" s="23"/>
      <c r="C102" s="23"/>
      <c r="D102" s="23"/>
      <c r="E102" s="23"/>
      <c r="F102" s="23"/>
      <c r="G102" s="23"/>
    </row>
    <row r="103" spans="1:7" x14ac:dyDescent="0.25">
      <c r="A103" s="24"/>
      <c r="B103" s="24"/>
      <c r="C103" s="24"/>
      <c r="D103" s="24"/>
      <c r="E103" s="24"/>
      <c r="F103" s="24"/>
      <c r="G103" s="24"/>
    </row>
    <row r="104" spans="1:7" x14ac:dyDescent="0.25">
      <c r="A104" s="23"/>
      <c r="B104" s="23"/>
      <c r="C104" s="23"/>
      <c r="D104" s="23"/>
      <c r="E104" s="23"/>
      <c r="F104" s="23"/>
      <c r="G104" s="23"/>
    </row>
    <row r="105" spans="1:7" x14ac:dyDescent="0.25">
      <c r="A105" s="24"/>
      <c r="B105" s="24"/>
      <c r="C105" s="24"/>
      <c r="D105" s="24"/>
      <c r="E105" s="24"/>
      <c r="F105" s="24"/>
      <c r="G105" s="24"/>
    </row>
    <row r="106" spans="1:7" x14ac:dyDescent="0.25">
      <c r="A106" s="23"/>
      <c r="B106" s="23"/>
      <c r="C106" s="23"/>
      <c r="D106" s="23"/>
      <c r="E106" s="23"/>
      <c r="F106" s="23"/>
      <c r="G106" s="23"/>
    </row>
    <row r="107" spans="1:7" x14ac:dyDescent="0.25">
      <c r="A107" s="24"/>
      <c r="B107" s="24"/>
      <c r="C107" s="24"/>
      <c r="D107" s="24"/>
      <c r="E107" s="24"/>
      <c r="F107" s="24"/>
      <c r="G107" s="24"/>
    </row>
    <row r="108" spans="1:7" x14ac:dyDescent="0.25">
      <c r="A108" s="23"/>
      <c r="B108" s="23"/>
      <c r="C108" s="23"/>
      <c r="D108" s="23"/>
      <c r="E108" s="23"/>
      <c r="F108" s="23"/>
      <c r="G108" s="23"/>
    </row>
    <row r="109" spans="1:7" x14ac:dyDescent="0.25">
      <c r="A109" s="24"/>
      <c r="B109" s="24"/>
      <c r="C109" s="24"/>
      <c r="D109" s="24"/>
      <c r="E109" s="24"/>
      <c r="F109" s="24"/>
      <c r="G109" s="24"/>
    </row>
    <row r="110" spans="1:7" x14ac:dyDescent="0.25">
      <c r="A110" s="23"/>
      <c r="B110" s="23"/>
      <c r="C110" s="23"/>
      <c r="D110" s="23"/>
      <c r="E110" s="23"/>
      <c r="F110" s="23"/>
      <c r="G110" s="23"/>
    </row>
    <row r="111" spans="1:7" x14ac:dyDescent="0.25">
      <c r="A111" s="24"/>
      <c r="B111" s="24"/>
      <c r="C111" s="24"/>
      <c r="D111" s="24"/>
      <c r="E111" s="24"/>
      <c r="F111" s="24"/>
      <c r="G111" s="24"/>
    </row>
    <row r="112" spans="1:7" x14ac:dyDescent="0.25">
      <c r="A112" s="23"/>
      <c r="B112" s="23"/>
      <c r="C112" s="23"/>
      <c r="D112" s="23"/>
      <c r="E112" s="23"/>
      <c r="F112" s="23"/>
      <c r="G112" s="23"/>
    </row>
    <row r="113" spans="1:7" x14ac:dyDescent="0.25">
      <c r="A113" s="24"/>
      <c r="B113" s="24"/>
      <c r="C113" s="24"/>
      <c r="D113" s="24"/>
      <c r="E113" s="24"/>
      <c r="F113" s="24"/>
      <c r="G113" s="24"/>
    </row>
    <row r="114" spans="1:7" x14ac:dyDescent="0.25">
      <c r="A114" s="23"/>
      <c r="B114" s="23"/>
      <c r="C114" s="23"/>
      <c r="D114" s="23"/>
      <c r="E114" s="23"/>
      <c r="F114" s="23"/>
      <c r="G114" s="23"/>
    </row>
    <row r="115" spans="1:7" x14ac:dyDescent="0.25">
      <c r="A115" s="24"/>
      <c r="B115" s="24"/>
      <c r="C115" s="24"/>
      <c r="D115" s="24"/>
      <c r="E115" s="24"/>
      <c r="F115" s="24"/>
      <c r="G115" s="24"/>
    </row>
    <row r="116" spans="1:7" x14ac:dyDescent="0.25">
      <c r="A116" s="23"/>
      <c r="B116" s="23"/>
      <c r="C116" s="23"/>
      <c r="D116" s="23"/>
      <c r="E116" s="23"/>
      <c r="F116" s="23"/>
      <c r="G116" s="23"/>
    </row>
    <row r="117" spans="1:7" x14ac:dyDescent="0.25">
      <c r="A117" s="24"/>
      <c r="B117" s="24"/>
      <c r="C117" s="24"/>
      <c r="D117" s="24"/>
      <c r="E117" s="24"/>
      <c r="F117" s="24"/>
      <c r="G117" s="24"/>
    </row>
    <row r="118" spans="1:7" x14ac:dyDescent="0.25">
      <c r="A118" s="23"/>
      <c r="B118" s="23"/>
      <c r="C118" s="23"/>
      <c r="D118" s="23"/>
      <c r="E118" s="23"/>
      <c r="F118" s="23"/>
      <c r="G118" s="23"/>
    </row>
    <row r="119" spans="1:7" x14ac:dyDescent="0.25">
      <c r="A119" s="24"/>
      <c r="B119" s="24"/>
      <c r="C119" s="24"/>
      <c r="D119" s="24"/>
      <c r="E119" s="24"/>
      <c r="F119" s="24"/>
      <c r="G119" s="24"/>
    </row>
    <row r="120" spans="1:7" x14ac:dyDescent="0.25">
      <c r="A120" s="23"/>
      <c r="B120" s="23"/>
      <c r="C120" s="23"/>
      <c r="D120" s="23"/>
      <c r="E120" s="23"/>
      <c r="F120" s="23"/>
      <c r="G120" s="23"/>
    </row>
    <row r="121" spans="1:7" x14ac:dyDescent="0.25">
      <c r="A121" s="24"/>
      <c r="B121" s="24"/>
      <c r="C121" s="24"/>
      <c r="D121" s="24"/>
      <c r="E121" s="24"/>
      <c r="F121" s="24"/>
      <c r="G121" s="24"/>
    </row>
    <row r="122" spans="1:7" x14ac:dyDescent="0.25">
      <c r="A122" s="23"/>
      <c r="B122" s="23"/>
      <c r="C122" s="23"/>
      <c r="D122" s="23"/>
      <c r="E122" s="23"/>
      <c r="F122" s="23"/>
      <c r="G122" s="23"/>
    </row>
    <row r="123" spans="1:7" x14ac:dyDescent="0.25">
      <c r="A123" s="24"/>
      <c r="B123" s="24"/>
      <c r="C123" s="24"/>
      <c r="D123" s="24"/>
      <c r="E123" s="24"/>
      <c r="F123" s="24"/>
      <c r="G123" s="24"/>
    </row>
    <row r="124" spans="1:7" x14ac:dyDescent="0.25">
      <c r="A124" s="23"/>
      <c r="B124" s="23"/>
      <c r="C124" s="23"/>
      <c r="D124" s="23"/>
      <c r="E124" s="23"/>
      <c r="F124" s="23"/>
      <c r="G124" s="23"/>
    </row>
    <row r="125" spans="1:7" x14ac:dyDescent="0.25">
      <c r="A125" s="24"/>
      <c r="B125" s="24"/>
      <c r="C125" s="24"/>
      <c r="D125" s="24"/>
      <c r="E125" s="24"/>
      <c r="F125" s="24"/>
      <c r="G125" s="24"/>
    </row>
    <row r="126" spans="1:7" x14ac:dyDescent="0.25">
      <c r="A126" s="23"/>
      <c r="B126" s="23"/>
      <c r="C126" s="23"/>
      <c r="D126" s="23"/>
      <c r="E126" s="23"/>
      <c r="F126" s="23"/>
      <c r="G126" s="23"/>
    </row>
    <row r="127" spans="1:7" x14ac:dyDescent="0.25">
      <c r="A127" s="24"/>
      <c r="B127" s="24"/>
      <c r="C127" s="24"/>
      <c r="D127" s="24"/>
      <c r="E127" s="24"/>
      <c r="F127" s="24"/>
      <c r="G127" s="24"/>
    </row>
    <row r="128" spans="1:7" x14ac:dyDescent="0.25">
      <c r="A128" s="23"/>
      <c r="B128" s="23"/>
      <c r="C128" s="23"/>
      <c r="D128" s="23"/>
      <c r="E128" s="23"/>
      <c r="F128" s="23"/>
      <c r="G128" s="23"/>
    </row>
    <row r="129" spans="1:7" x14ac:dyDescent="0.25">
      <c r="A129" s="24"/>
      <c r="B129" s="24"/>
      <c r="C129" s="24"/>
      <c r="D129" s="24"/>
      <c r="E129" s="24"/>
      <c r="F129" s="24"/>
      <c r="G129" s="24"/>
    </row>
    <row r="130" spans="1:7" x14ac:dyDescent="0.25">
      <c r="A130" s="23"/>
      <c r="B130" s="23"/>
      <c r="C130" s="23"/>
      <c r="D130" s="23"/>
      <c r="E130" s="23"/>
      <c r="F130" s="23"/>
      <c r="G130" s="23"/>
    </row>
    <row r="131" spans="1:7" x14ac:dyDescent="0.25">
      <c r="A131" s="24"/>
      <c r="B131" s="24"/>
      <c r="C131" s="24"/>
      <c r="D131" s="24"/>
      <c r="E131" s="24"/>
      <c r="F131" s="24"/>
      <c r="G131" s="24"/>
    </row>
    <row r="132" spans="1:7" x14ac:dyDescent="0.25">
      <c r="A132" s="23"/>
      <c r="B132" s="23"/>
      <c r="C132" s="23"/>
      <c r="D132" s="23"/>
      <c r="E132" s="23"/>
      <c r="F132" s="23"/>
      <c r="G132" s="23"/>
    </row>
    <row r="133" spans="1:7" x14ac:dyDescent="0.25">
      <c r="A133" s="24"/>
      <c r="B133" s="24"/>
      <c r="C133" s="24"/>
      <c r="D133" s="24"/>
      <c r="E133" s="24"/>
      <c r="F133" s="24"/>
      <c r="G133" s="24"/>
    </row>
    <row r="134" spans="1:7" x14ac:dyDescent="0.25">
      <c r="A134" s="23"/>
      <c r="B134" s="23"/>
      <c r="C134" s="23"/>
      <c r="D134" s="23"/>
      <c r="E134" s="23"/>
      <c r="F134" s="23"/>
      <c r="G134" s="23"/>
    </row>
    <row r="135" spans="1:7" x14ac:dyDescent="0.25">
      <c r="A135" s="24"/>
      <c r="B135" s="24"/>
      <c r="C135" s="24"/>
      <c r="D135" s="24"/>
      <c r="E135" s="24"/>
      <c r="F135" s="24"/>
      <c r="G135" s="24"/>
    </row>
    <row r="136" spans="1:7" x14ac:dyDescent="0.25">
      <c r="A136" s="23"/>
      <c r="B136" s="23"/>
      <c r="C136" s="23"/>
      <c r="D136" s="23"/>
      <c r="E136" s="23"/>
      <c r="F136" s="23"/>
      <c r="G136" s="23"/>
    </row>
    <row r="137" spans="1:7" x14ac:dyDescent="0.25">
      <c r="A137" s="24"/>
      <c r="B137" s="24"/>
      <c r="C137" s="24"/>
      <c r="D137" s="24"/>
      <c r="E137" s="24"/>
      <c r="F137" s="24"/>
      <c r="G137" s="24"/>
    </row>
    <row r="138" spans="1:7" x14ac:dyDescent="0.25">
      <c r="A138" s="23"/>
      <c r="B138" s="23"/>
      <c r="C138" s="23"/>
      <c r="D138" s="23"/>
      <c r="E138" s="23"/>
      <c r="F138" s="23"/>
      <c r="G138" s="23"/>
    </row>
    <row r="139" spans="1:7" x14ac:dyDescent="0.25">
      <c r="A139" s="24"/>
      <c r="B139" s="24"/>
      <c r="C139" s="24"/>
      <c r="D139" s="24"/>
      <c r="E139" s="24"/>
      <c r="F139" s="24"/>
      <c r="G139" s="24"/>
    </row>
    <row r="140" spans="1:7" x14ac:dyDescent="0.25">
      <c r="A140" s="23"/>
      <c r="B140" s="23"/>
      <c r="C140" s="23"/>
      <c r="D140" s="23"/>
      <c r="E140" s="23"/>
      <c r="F140" s="23"/>
      <c r="G140" s="23"/>
    </row>
    <row r="141" spans="1:7" x14ac:dyDescent="0.25">
      <c r="A141" s="24"/>
      <c r="B141" s="24"/>
      <c r="C141" s="24"/>
      <c r="D141" s="24"/>
      <c r="E141" s="24"/>
      <c r="F141" s="24"/>
      <c r="G141" s="24"/>
    </row>
    <row r="142" spans="1:7" x14ac:dyDescent="0.25">
      <c r="A142" s="23"/>
      <c r="B142" s="23"/>
      <c r="C142" s="23"/>
      <c r="D142" s="23"/>
      <c r="E142" s="23"/>
      <c r="F142" s="23"/>
      <c r="G142" s="23"/>
    </row>
    <row r="143" spans="1:7" x14ac:dyDescent="0.25">
      <c r="A143" s="24"/>
      <c r="B143" s="24"/>
      <c r="C143" s="24"/>
      <c r="D143" s="24"/>
      <c r="E143" s="24"/>
      <c r="F143" s="24"/>
      <c r="G143" s="24"/>
    </row>
    <row r="144" spans="1:7" x14ac:dyDescent="0.25">
      <c r="A144" s="23"/>
      <c r="B144" s="23"/>
      <c r="C144" s="23"/>
      <c r="D144" s="23"/>
      <c r="E144" s="23"/>
      <c r="F144" s="23"/>
      <c r="G144" s="23"/>
    </row>
    <row r="145" spans="1:7" x14ac:dyDescent="0.25">
      <c r="A145" s="24"/>
      <c r="B145" s="24"/>
      <c r="C145" s="24"/>
      <c r="D145" s="24"/>
      <c r="E145" s="24"/>
      <c r="F145" s="24"/>
      <c r="G145" s="24"/>
    </row>
    <row r="146" spans="1:7" x14ac:dyDescent="0.25">
      <c r="A146" s="23"/>
      <c r="B146" s="23"/>
      <c r="C146" s="23"/>
      <c r="D146" s="23"/>
      <c r="E146" s="23"/>
      <c r="F146" s="23"/>
      <c r="G146" s="23"/>
    </row>
    <row r="147" spans="1:7" x14ac:dyDescent="0.25">
      <c r="A147" s="24"/>
      <c r="B147" s="24"/>
      <c r="C147" s="24"/>
      <c r="D147" s="24"/>
      <c r="E147" s="24"/>
      <c r="F147" s="24"/>
      <c r="G147" s="24"/>
    </row>
    <row r="148" spans="1:7" x14ac:dyDescent="0.25">
      <c r="A148" s="23"/>
      <c r="B148" s="23"/>
      <c r="C148" s="23"/>
      <c r="D148" s="23"/>
      <c r="E148" s="23"/>
      <c r="F148" s="23"/>
      <c r="G148" s="23"/>
    </row>
    <row r="149" spans="1:7" x14ac:dyDescent="0.25">
      <c r="A149" s="24"/>
      <c r="B149" s="24"/>
      <c r="C149" s="24"/>
      <c r="D149" s="24"/>
      <c r="E149" s="24"/>
      <c r="F149" s="24"/>
      <c r="G149" s="24"/>
    </row>
    <row r="150" spans="1:7" x14ac:dyDescent="0.25">
      <c r="A150" s="23"/>
      <c r="B150" s="23"/>
      <c r="C150" s="23"/>
      <c r="D150" s="23"/>
      <c r="E150" s="23"/>
      <c r="F150" s="23"/>
      <c r="G150" s="23"/>
    </row>
    <row r="151" spans="1:7" x14ac:dyDescent="0.25">
      <c r="A151" s="24"/>
      <c r="B151" s="24"/>
      <c r="C151" s="24"/>
      <c r="D151" s="24"/>
      <c r="E151" s="24"/>
      <c r="F151" s="24"/>
      <c r="G151" s="24"/>
    </row>
    <row r="152" spans="1:7" x14ac:dyDescent="0.25">
      <c r="A152" s="23"/>
      <c r="B152" s="23"/>
      <c r="C152" s="23"/>
      <c r="D152" s="23"/>
      <c r="E152" s="23"/>
      <c r="F152" s="23"/>
      <c r="G152" s="23"/>
    </row>
    <row r="153" spans="1:7" x14ac:dyDescent="0.25">
      <c r="A153" s="24"/>
      <c r="B153" s="24"/>
      <c r="C153" s="24"/>
      <c r="D153" s="24"/>
      <c r="E153" s="24"/>
      <c r="F153" s="24"/>
      <c r="G153" s="24"/>
    </row>
    <row r="154" spans="1:7" x14ac:dyDescent="0.25">
      <c r="A154" s="23"/>
      <c r="B154" s="23"/>
      <c r="C154" s="23"/>
      <c r="D154" s="23"/>
      <c r="E154" s="23"/>
      <c r="F154" s="23"/>
      <c r="G154" s="23"/>
    </row>
    <row r="155" spans="1:7" x14ac:dyDescent="0.25">
      <c r="A155" s="24"/>
      <c r="B155" s="24"/>
      <c r="C155" s="24"/>
      <c r="D155" s="24"/>
      <c r="E155" s="24"/>
      <c r="F155" s="24"/>
      <c r="G155" s="24"/>
    </row>
    <row r="156" spans="1:7" x14ac:dyDescent="0.25">
      <c r="A156" s="23"/>
      <c r="B156" s="23"/>
      <c r="C156" s="23"/>
      <c r="D156" s="23"/>
      <c r="E156" s="23"/>
      <c r="F156" s="23"/>
      <c r="G156" s="23"/>
    </row>
    <row r="157" spans="1:7" x14ac:dyDescent="0.25">
      <c r="A157" s="24"/>
      <c r="B157" s="24"/>
      <c r="C157" s="24"/>
      <c r="D157" s="24"/>
      <c r="E157" s="24"/>
      <c r="F157" s="24"/>
      <c r="G157" s="24"/>
    </row>
    <row r="158" spans="1:7" x14ac:dyDescent="0.25">
      <c r="A158" s="23"/>
      <c r="B158" s="23"/>
      <c r="C158" s="23"/>
      <c r="D158" s="23"/>
      <c r="E158" s="23"/>
      <c r="F158" s="23"/>
      <c r="G158" s="23"/>
    </row>
    <row r="159" spans="1:7" x14ac:dyDescent="0.25">
      <c r="A159" s="24"/>
      <c r="B159" s="24"/>
      <c r="C159" s="24"/>
      <c r="D159" s="24"/>
      <c r="E159" s="24"/>
      <c r="F159" s="24"/>
      <c r="G159" s="24"/>
    </row>
    <row r="160" spans="1:7" x14ac:dyDescent="0.25">
      <c r="A160" s="23"/>
      <c r="B160" s="23"/>
      <c r="C160" s="23"/>
      <c r="D160" s="23"/>
      <c r="E160" s="23"/>
      <c r="F160" s="23"/>
      <c r="G160" s="23"/>
    </row>
    <row r="161" spans="1:7" x14ac:dyDescent="0.25">
      <c r="A161" s="24"/>
      <c r="B161" s="24"/>
      <c r="C161" s="24"/>
      <c r="D161" s="24"/>
      <c r="E161" s="24"/>
      <c r="F161" s="24"/>
      <c r="G161" s="24"/>
    </row>
    <row r="162" spans="1:7" x14ac:dyDescent="0.25">
      <c r="A162" s="23"/>
      <c r="B162" s="23"/>
      <c r="C162" s="23"/>
      <c r="D162" s="23"/>
      <c r="E162" s="23"/>
      <c r="F162" s="23"/>
      <c r="G162" s="23"/>
    </row>
    <row r="163" spans="1:7" x14ac:dyDescent="0.25">
      <c r="A163" s="24"/>
      <c r="B163" s="24"/>
      <c r="C163" s="24"/>
      <c r="D163" s="24"/>
      <c r="E163" s="24"/>
      <c r="F163" s="24"/>
      <c r="G163" s="24"/>
    </row>
    <row r="164" spans="1:7" x14ac:dyDescent="0.25">
      <c r="A164" s="23"/>
      <c r="B164" s="23"/>
      <c r="C164" s="23"/>
      <c r="D164" s="23"/>
      <c r="E164" s="23"/>
      <c r="F164" s="23"/>
      <c r="G164" s="23"/>
    </row>
    <row r="165" spans="1:7" x14ac:dyDescent="0.25">
      <c r="A165" s="24"/>
      <c r="B165" s="24"/>
      <c r="C165" s="24"/>
      <c r="D165" s="24"/>
      <c r="E165" s="24"/>
      <c r="F165" s="24"/>
      <c r="G165" s="24"/>
    </row>
    <row r="166" spans="1:7" x14ac:dyDescent="0.25">
      <c r="A166" s="23"/>
      <c r="B166" s="23"/>
      <c r="C166" s="23"/>
      <c r="D166" s="23"/>
      <c r="E166" s="23"/>
      <c r="F166" s="23"/>
      <c r="G166" s="23"/>
    </row>
    <row r="167" spans="1:7" x14ac:dyDescent="0.25">
      <c r="A167" s="24"/>
      <c r="B167" s="24"/>
      <c r="C167" s="24"/>
      <c r="D167" s="24"/>
      <c r="E167" s="24"/>
      <c r="F167" s="24"/>
      <c r="G167" s="24"/>
    </row>
    <row r="168" spans="1:7" x14ac:dyDescent="0.25">
      <c r="A168" s="23"/>
      <c r="B168" s="23"/>
      <c r="C168" s="23"/>
      <c r="D168" s="23"/>
      <c r="E168" s="23"/>
      <c r="F168" s="23"/>
      <c r="G168" s="23"/>
    </row>
    <row r="169" spans="1:7" x14ac:dyDescent="0.25">
      <c r="A169" s="24"/>
      <c r="B169" s="24"/>
      <c r="C169" s="24"/>
      <c r="D169" s="24"/>
      <c r="E169" s="24"/>
      <c r="F169" s="24"/>
      <c r="G169" s="24"/>
    </row>
    <row r="170" spans="1:7" x14ac:dyDescent="0.25">
      <c r="A170" s="23"/>
      <c r="B170" s="23"/>
      <c r="C170" s="23"/>
      <c r="D170" s="23"/>
      <c r="E170" s="23"/>
      <c r="F170" s="23"/>
      <c r="G170" s="23"/>
    </row>
    <row r="171" spans="1:7" x14ac:dyDescent="0.25">
      <c r="A171" s="24"/>
      <c r="B171" s="24"/>
      <c r="C171" s="24"/>
      <c r="D171" s="24"/>
      <c r="E171" s="24"/>
      <c r="F171" s="24"/>
      <c r="G171" s="24"/>
    </row>
    <row r="172" spans="1:7" x14ac:dyDescent="0.25">
      <c r="A172" s="23"/>
      <c r="B172" s="23"/>
      <c r="C172" s="23"/>
      <c r="D172" s="23"/>
      <c r="E172" s="23"/>
      <c r="F172" s="23"/>
      <c r="G172" s="23"/>
    </row>
    <row r="173" spans="1:7" x14ac:dyDescent="0.25">
      <c r="A173" s="24"/>
      <c r="B173" s="24"/>
      <c r="C173" s="24"/>
      <c r="D173" s="24"/>
      <c r="E173" s="24"/>
      <c r="F173" s="24"/>
      <c r="G173" s="24"/>
    </row>
    <row r="174" spans="1:7" x14ac:dyDescent="0.25">
      <c r="A174" s="23"/>
      <c r="B174" s="23"/>
      <c r="C174" s="23"/>
      <c r="D174" s="23"/>
      <c r="E174" s="23"/>
      <c r="F174" s="23"/>
      <c r="G174" s="23"/>
    </row>
    <row r="175" spans="1:7" x14ac:dyDescent="0.25">
      <c r="A175" s="24"/>
      <c r="B175" s="24"/>
      <c r="C175" s="24"/>
      <c r="D175" s="24"/>
      <c r="E175" s="24"/>
      <c r="F175" s="24"/>
      <c r="G175" s="24"/>
    </row>
    <row r="176" spans="1:7" x14ac:dyDescent="0.25">
      <c r="A176" s="23"/>
      <c r="B176" s="23"/>
      <c r="C176" s="23"/>
      <c r="D176" s="23"/>
      <c r="E176" s="23"/>
      <c r="F176" s="23"/>
      <c r="G176" s="23"/>
    </row>
    <row r="177" spans="1:7" x14ac:dyDescent="0.25">
      <c r="A177" s="24"/>
      <c r="B177" s="24"/>
      <c r="C177" s="24"/>
      <c r="D177" s="24"/>
      <c r="E177" s="24"/>
      <c r="F177" s="24"/>
      <c r="G177" s="24"/>
    </row>
    <row r="178" spans="1:7" x14ac:dyDescent="0.25">
      <c r="A178" s="23"/>
      <c r="B178" s="23"/>
      <c r="C178" s="23"/>
      <c r="D178" s="23"/>
      <c r="E178" s="23"/>
      <c r="F178" s="23"/>
      <c r="G178" s="23"/>
    </row>
    <row r="179" spans="1:7" x14ac:dyDescent="0.25">
      <c r="A179" s="24"/>
      <c r="B179" s="24"/>
      <c r="C179" s="24"/>
      <c r="D179" s="24"/>
      <c r="E179" s="24"/>
      <c r="F179" s="24"/>
      <c r="G179" s="24"/>
    </row>
    <row r="180" spans="1:7" x14ac:dyDescent="0.25">
      <c r="A180" s="23"/>
      <c r="B180" s="23"/>
      <c r="C180" s="23"/>
      <c r="D180" s="23"/>
      <c r="E180" s="23"/>
      <c r="F180" s="23"/>
      <c r="G180" s="23"/>
    </row>
    <row r="181" spans="1:7" x14ac:dyDescent="0.25">
      <c r="A181" s="24"/>
      <c r="B181" s="24"/>
      <c r="C181" s="24"/>
      <c r="D181" s="24"/>
      <c r="E181" s="24"/>
      <c r="F181" s="24"/>
      <c r="G181" s="24"/>
    </row>
    <row r="182" spans="1:7" x14ac:dyDescent="0.25">
      <c r="A182" s="23"/>
      <c r="B182" s="23"/>
      <c r="C182" s="23"/>
      <c r="D182" s="23"/>
      <c r="E182" s="23"/>
      <c r="F182" s="23"/>
      <c r="G182" s="23"/>
    </row>
    <row r="183" spans="1:7" x14ac:dyDescent="0.25">
      <c r="A183" s="24"/>
      <c r="B183" s="24"/>
      <c r="C183" s="24"/>
      <c r="D183" s="24"/>
      <c r="E183" s="24"/>
      <c r="F183" s="24"/>
      <c r="G183" s="24"/>
    </row>
    <row r="184" spans="1:7" x14ac:dyDescent="0.25">
      <c r="A184" s="23"/>
      <c r="B184" s="23"/>
      <c r="C184" s="23"/>
      <c r="D184" s="23"/>
      <c r="E184" s="23"/>
      <c r="F184" s="23"/>
      <c r="G184" s="23"/>
    </row>
    <row r="185" spans="1:7" x14ac:dyDescent="0.25">
      <c r="A185" s="24"/>
      <c r="B185" s="24"/>
      <c r="C185" s="24"/>
      <c r="D185" s="24"/>
      <c r="E185" s="24"/>
      <c r="F185" s="24"/>
      <c r="G185" s="24"/>
    </row>
    <row r="186" spans="1:7" x14ac:dyDescent="0.25">
      <c r="A186" s="23"/>
      <c r="B186" s="23"/>
      <c r="C186" s="23"/>
      <c r="D186" s="23"/>
      <c r="E186" s="23"/>
      <c r="F186" s="23"/>
      <c r="G186" s="23"/>
    </row>
    <row r="187" spans="1:7" x14ac:dyDescent="0.25">
      <c r="A187" s="24"/>
      <c r="B187" s="24"/>
      <c r="C187" s="24"/>
      <c r="D187" s="24"/>
      <c r="E187" s="24"/>
      <c r="F187" s="24"/>
      <c r="G187" s="24"/>
    </row>
    <row r="188" spans="1:7" x14ac:dyDescent="0.25">
      <c r="A188" s="23"/>
      <c r="B188" s="23"/>
      <c r="C188" s="23"/>
      <c r="D188" s="23"/>
      <c r="E188" s="23"/>
      <c r="F188" s="23"/>
      <c r="G188" s="23"/>
    </row>
    <row r="189" spans="1:7" x14ac:dyDescent="0.25">
      <c r="A189" s="24"/>
      <c r="B189" s="24"/>
      <c r="C189" s="24"/>
      <c r="D189" s="24"/>
      <c r="E189" s="24"/>
      <c r="F189" s="24"/>
      <c r="G189" s="24"/>
    </row>
    <row r="190" spans="1:7" x14ac:dyDescent="0.25">
      <c r="A190" s="23"/>
      <c r="B190" s="23"/>
      <c r="C190" s="23"/>
      <c r="D190" s="23"/>
      <c r="E190" s="23"/>
      <c r="F190" s="23"/>
      <c r="G190" s="23"/>
    </row>
    <row r="191" spans="1:7" x14ac:dyDescent="0.25">
      <c r="A191" s="24"/>
      <c r="B191" s="24"/>
      <c r="C191" s="24"/>
      <c r="D191" s="24"/>
      <c r="E191" s="24"/>
      <c r="F191" s="24"/>
      <c r="G191" s="24"/>
    </row>
    <row r="192" spans="1:7" x14ac:dyDescent="0.25">
      <c r="A192" s="23"/>
      <c r="B192" s="23"/>
      <c r="C192" s="23"/>
      <c r="D192" s="23"/>
      <c r="E192" s="23"/>
      <c r="F192" s="23"/>
      <c r="G192" s="23"/>
    </row>
    <row r="193" spans="1:7" x14ac:dyDescent="0.25">
      <c r="A193" s="24"/>
      <c r="B193" s="24"/>
      <c r="C193" s="24"/>
      <c r="D193" s="24"/>
      <c r="E193" s="24"/>
      <c r="F193" s="24"/>
      <c r="G193" s="24"/>
    </row>
    <row r="194" spans="1:7" x14ac:dyDescent="0.25">
      <c r="A194" s="23"/>
      <c r="B194" s="23"/>
      <c r="C194" s="23"/>
      <c r="D194" s="23"/>
      <c r="E194" s="23"/>
      <c r="F194" s="23"/>
      <c r="G194" s="23"/>
    </row>
    <row r="195" spans="1:7" x14ac:dyDescent="0.25">
      <c r="A195" s="24"/>
      <c r="B195" s="24"/>
      <c r="C195" s="24"/>
      <c r="D195" s="24"/>
      <c r="E195" s="24"/>
      <c r="F195" s="24"/>
      <c r="G195" s="24"/>
    </row>
    <row r="196" spans="1:7" x14ac:dyDescent="0.25">
      <c r="A196" s="23"/>
      <c r="B196" s="23"/>
      <c r="C196" s="23"/>
      <c r="D196" s="23"/>
      <c r="E196" s="23"/>
      <c r="F196" s="23"/>
      <c r="G196" s="23"/>
    </row>
    <row r="197" spans="1:7" x14ac:dyDescent="0.25">
      <c r="A197" s="24"/>
      <c r="B197" s="24"/>
      <c r="C197" s="24"/>
      <c r="D197" s="24"/>
      <c r="E197" s="24"/>
      <c r="F197" s="24"/>
      <c r="G197" s="24"/>
    </row>
    <row r="198" spans="1:7" x14ac:dyDescent="0.25">
      <c r="A198" s="23"/>
      <c r="B198" s="23"/>
      <c r="C198" s="23"/>
      <c r="D198" s="23"/>
      <c r="E198" s="23"/>
      <c r="F198" s="23"/>
      <c r="G198" s="23"/>
    </row>
    <row r="199" spans="1:7" x14ac:dyDescent="0.25">
      <c r="A199" s="24"/>
      <c r="B199" s="24"/>
      <c r="C199" s="24"/>
      <c r="D199" s="24"/>
      <c r="E199" s="24"/>
      <c r="F199" s="24"/>
      <c r="G199" s="24"/>
    </row>
    <row r="200" spans="1:7" x14ac:dyDescent="0.25">
      <c r="A200" s="23"/>
      <c r="B200" s="23"/>
      <c r="C200" s="23"/>
      <c r="D200" s="23"/>
      <c r="E200" s="23"/>
      <c r="F200" s="23"/>
      <c r="G200" s="23"/>
    </row>
    <row r="201" spans="1:7" x14ac:dyDescent="0.25">
      <c r="A201" s="24"/>
      <c r="B201" s="24"/>
      <c r="C201" s="24"/>
      <c r="D201" s="24"/>
      <c r="E201" s="24"/>
      <c r="F201" s="24"/>
      <c r="G201" s="24"/>
    </row>
  </sheetData>
  <autoFilter ref="A1:G201" xr:uid="{00000000-0009-0000-0000-000004000000}"/>
  <dataValidations count="2">
    <dataValidation type="list" allowBlank="1" sqref="A2:A201" xr:uid="{00000000-0002-0000-0400-000000000000}">
      <formula1>lst_Industrias</formula1>
    </dataValidation>
    <dataValidation type="list" allowBlank="1" sqref="B2:B201" xr:uid="{00000000-0002-0000-0400-000001000000}">
      <formula1>lst_Setores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81"/>
  <sheetViews>
    <sheetView workbookViewId="0"/>
  </sheetViews>
  <sheetFormatPr defaultColWidth="8.85546875" defaultRowHeight="15" x14ac:dyDescent="0.25"/>
  <sheetData>
    <row r="1" spans="1:3" x14ac:dyDescent="0.25">
      <c r="A1" t="s">
        <v>2484</v>
      </c>
      <c r="B1" t="s">
        <v>2485</v>
      </c>
      <c r="C1" t="s">
        <v>2486</v>
      </c>
    </row>
    <row r="2" spans="1:3" x14ac:dyDescent="0.25">
      <c r="A2" t="s">
        <v>18</v>
      </c>
      <c r="B2" t="s">
        <v>82</v>
      </c>
      <c r="C2" t="s">
        <v>144</v>
      </c>
    </row>
    <row r="3" spans="1:3" x14ac:dyDescent="0.25">
      <c r="A3" t="s">
        <v>19</v>
      </c>
      <c r="B3" t="s">
        <v>86</v>
      </c>
      <c r="C3" t="s">
        <v>155</v>
      </c>
    </row>
    <row r="4" spans="1:3" x14ac:dyDescent="0.25">
      <c r="A4" t="s">
        <v>20</v>
      </c>
      <c r="B4" t="s">
        <v>89</v>
      </c>
      <c r="C4" t="s">
        <v>163</v>
      </c>
    </row>
    <row r="5" spans="1:3" x14ac:dyDescent="0.25">
      <c r="A5" t="s">
        <v>21</v>
      </c>
      <c r="B5" t="s">
        <v>92</v>
      </c>
      <c r="C5" t="s">
        <v>168</v>
      </c>
    </row>
    <row r="6" spans="1:3" x14ac:dyDescent="0.25">
      <c r="A6" t="s">
        <v>22</v>
      </c>
      <c r="B6" t="s">
        <v>95</v>
      </c>
      <c r="C6" t="s">
        <v>174</v>
      </c>
    </row>
    <row r="7" spans="1:3" x14ac:dyDescent="0.25">
      <c r="A7" t="s">
        <v>23</v>
      </c>
      <c r="B7" t="s">
        <v>98</v>
      </c>
      <c r="C7" t="s">
        <v>180</v>
      </c>
    </row>
    <row r="8" spans="1:3" x14ac:dyDescent="0.25">
      <c r="A8" t="s">
        <v>24</v>
      </c>
      <c r="B8" t="s">
        <v>101</v>
      </c>
      <c r="C8" t="s">
        <v>190</v>
      </c>
    </row>
    <row r="9" spans="1:3" x14ac:dyDescent="0.25">
      <c r="A9" t="s">
        <v>25</v>
      </c>
      <c r="B9" t="s">
        <v>104</v>
      </c>
      <c r="C9" t="s">
        <v>195</v>
      </c>
    </row>
    <row r="10" spans="1:3" x14ac:dyDescent="0.25">
      <c r="A10" t="s">
        <v>26</v>
      </c>
      <c r="B10" t="s">
        <v>107</v>
      </c>
      <c r="C10" t="s">
        <v>201</v>
      </c>
    </row>
    <row r="11" spans="1:3" x14ac:dyDescent="0.25">
      <c r="A11" t="s">
        <v>27</v>
      </c>
      <c r="B11" t="s">
        <v>110</v>
      </c>
      <c r="C11" t="s">
        <v>206</v>
      </c>
    </row>
    <row r="12" spans="1:3" x14ac:dyDescent="0.25">
      <c r="B12" t="s">
        <v>113</v>
      </c>
      <c r="C12" t="s">
        <v>211</v>
      </c>
    </row>
    <row r="13" spans="1:3" x14ac:dyDescent="0.25">
      <c r="B13" t="s">
        <v>116</v>
      </c>
      <c r="C13" t="s">
        <v>218</v>
      </c>
    </row>
    <row r="14" spans="1:3" x14ac:dyDescent="0.25">
      <c r="B14" t="s">
        <v>119</v>
      </c>
      <c r="C14" t="s">
        <v>224</v>
      </c>
    </row>
    <row r="15" spans="1:3" x14ac:dyDescent="0.25">
      <c r="B15" t="s">
        <v>122</v>
      </c>
      <c r="C15" t="s">
        <v>229</v>
      </c>
    </row>
    <row r="16" spans="1:3" x14ac:dyDescent="0.25">
      <c r="B16" t="s">
        <v>125</v>
      </c>
      <c r="C16" t="s">
        <v>235</v>
      </c>
    </row>
    <row r="17" spans="3:3" x14ac:dyDescent="0.25">
      <c r="C17" t="s">
        <v>239</v>
      </c>
    </row>
    <row r="18" spans="3:3" x14ac:dyDescent="0.25">
      <c r="C18" t="s">
        <v>245</v>
      </c>
    </row>
    <row r="19" spans="3:3" x14ac:dyDescent="0.25">
      <c r="C19" t="s">
        <v>250</v>
      </c>
    </row>
    <row r="20" spans="3:3" x14ac:dyDescent="0.25">
      <c r="C20" t="s">
        <v>255</v>
      </c>
    </row>
    <row r="21" spans="3:3" x14ac:dyDescent="0.25">
      <c r="C21" t="s">
        <v>260</v>
      </c>
    </row>
    <row r="22" spans="3:3" x14ac:dyDescent="0.25">
      <c r="C22" t="s">
        <v>265</v>
      </c>
    </row>
    <row r="23" spans="3:3" x14ac:dyDescent="0.25">
      <c r="C23" t="s">
        <v>270</v>
      </c>
    </row>
    <row r="24" spans="3:3" x14ac:dyDescent="0.25">
      <c r="C24" t="s">
        <v>276</v>
      </c>
    </row>
    <row r="25" spans="3:3" x14ac:dyDescent="0.25">
      <c r="C25" t="s">
        <v>281</v>
      </c>
    </row>
    <row r="26" spans="3:3" x14ac:dyDescent="0.25">
      <c r="C26" t="s">
        <v>286</v>
      </c>
    </row>
    <row r="27" spans="3:3" x14ac:dyDescent="0.25">
      <c r="C27" t="s">
        <v>293</v>
      </c>
    </row>
    <row r="28" spans="3:3" x14ac:dyDescent="0.25">
      <c r="C28" t="s">
        <v>298</v>
      </c>
    </row>
    <row r="29" spans="3:3" x14ac:dyDescent="0.25">
      <c r="C29" t="s">
        <v>303</v>
      </c>
    </row>
    <row r="30" spans="3:3" x14ac:dyDescent="0.25">
      <c r="C30" t="s">
        <v>309</v>
      </c>
    </row>
    <row r="31" spans="3:3" x14ac:dyDescent="0.25">
      <c r="C31" t="s">
        <v>316</v>
      </c>
    </row>
    <row r="32" spans="3:3" x14ac:dyDescent="0.25">
      <c r="C32" t="s">
        <v>320</v>
      </c>
    </row>
    <row r="33" spans="3:3" x14ac:dyDescent="0.25">
      <c r="C33" t="s">
        <v>326</v>
      </c>
    </row>
    <row r="34" spans="3:3" x14ac:dyDescent="0.25">
      <c r="C34" t="s">
        <v>331</v>
      </c>
    </row>
    <row r="35" spans="3:3" x14ac:dyDescent="0.25">
      <c r="C35" t="s">
        <v>336</v>
      </c>
    </row>
    <row r="36" spans="3:3" x14ac:dyDescent="0.25">
      <c r="C36" t="s">
        <v>340</v>
      </c>
    </row>
    <row r="37" spans="3:3" x14ac:dyDescent="0.25">
      <c r="C37" t="s">
        <v>345</v>
      </c>
    </row>
    <row r="38" spans="3:3" x14ac:dyDescent="0.25">
      <c r="C38" t="s">
        <v>351</v>
      </c>
    </row>
    <row r="39" spans="3:3" x14ac:dyDescent="0.25">
      <c r="C39" t="s">
        <v>357</v>
      </c>
    </row>
    <row r="40" spans="3:3" x14ac:dyDescent="0.25">
      <c r="C40" t="s">
        <v>364</v>
      </c>
    </row>
    <row r="41" spans="3:3" x14ac:dyDescent="0.25">
      <c r="C41" t="s">
        <v>370</v>
      </c>
    </row>
    <row r="42" spans="3:3" x14ac:dyDescent="0.25">
      <c r="C42" t="s">
        <v>373</v>
      </c>
    </row>
    <row r="43" spans="3:3" x14ac:dyDescent="0.25">
      <c r="C43" t="s">
        <v>377</v>
      </c>
    </row>
    <row r="44" spans="3:3" x14ac:dyDescent="0.25">
      <c r="C44" t="s">
        <v>380</v>
      </c>
    </row>
    <row r="45" spans="3:3" x14ac:dyDescent="0.25">
      <c r="C45" t="s">
        <v>387</v>
      </c>
    </row>
    <row r="46" spans="3:3" x14ac:dyDescent="0.25">
      <c r="C46" t="s">
        <v>393</v>
      </c>
    </row>
    <row r="47" spans="3:3" x14ac:dyDescent="0.25">
      <c r="C47" t="s">
        <v>399</v>
      </c>
    </row>
    <row r="48" spans="3:3" x14ac:dyDescent="0.25">
      <c r="C48" t="s">
        <v>405</v>
      </c>
    </row>
    <row r="49" spans="3:3" x14ac:dyDescent="0.25">
      <c r="C49" t="s">
        <v>410</v>
      </c>
    </row>
    <row r="50" spans="3:3" x14ac:dyDescent="0.25">
      <c r="C50" t="s">
        <v>416</v>
      </c>
    </row>
    <row r="51" spans="3:3" x14ac:dyDescent="0.25">
      <c r="C51" t="s">
        <v>420</v>
      </c>
    </row>
    <row r="52" spans="3:3" x14ac:dyDescent="0.25">
      <c r="C52" t="s">
        <v>426</v>
      </c>
    </row>
    <row r="53" spans="3:3" x14ac:dyDescent="0.25">
      <c r="C53" t="s">
        <v>431</v>
      </c>
    </row>
    <row r="54" spans="3:3" x14ac:dyDescent="0.25">
      <c r="C54" t="s">
        <v>437</v>
      </c>
    </row>
    <row r="55" spans="3:3" x14ac:dyDescent="0.25">
      <c r="C55" t="s">
        <v>441</v>
      </c>
    </row>
    <row r="56" spans="3:3" x14ac:dyDescent="0.25">
      <c r="C56" t="s">
        <v>447</v>
      </c>
    </row>
    <row r="57" spans="3:3" x14ac:dyDescent="0.25">
      <c r="C57" t="s">
        <v>451</v>
      </c>
    </row>
    <row r="58" spans="3:3" x14ac:dyDescent="0.25">
      <c r="C58" t="s">
        <v>454</v>
      </c>
    </row>
    <row r="59" spans="3:3" x14ac:dyDescent="0.25">
      <c r="C59" t="s">
        <v>457</v>
      </c>
    </row>
    <row r="60" spans="3:3" x14ac:dyDescent="0.25">
      <c r="C60" t="s">
        <v>460</v>
      </c>
    </row>
    <row r="61" spans="3:3" x14ac:dyDescent="0.25">
      <c r="C61" t="s">
        <v>463</v>
      </c>
    </row>
    <row r="62" spans="3:3" x14ac:dyDescent="0.25">
      <c r="C62" t="s">
        <v>469</v>
      </c>
    </row>
    <row r="63" spans="3:3" x14ac:dyDescent="0.25">
      <c r="C63" t="s">
        <v>475</v>
      </c>
    </row>
    <row r="64" spans="3:3" x14ac:dyDescent="0.25">
      <c r="C64" t="s">
        <v>480</v>
      </c>
    </row>
    <row r="65" spans="3:3" x14ac:dyDescent="0.25">
      <c r="C65" t="s">
        <v>486</v>
      </c>
    </row>
    <row r="66" spans="3:3" x14ac:dyDescent="0.25">
      <c r="C66" t="s">
        <v>490</v>
      </c>
    </row>
    <row r="67" spans="3:3" x14ac:dyDescent="0.25">
      <c r="C67" t="s">
        <v>494</v>
      </c>
    </row>
    <row r="68" spans="3:3" x14ac:dyDescent="0.25">
      <c r="C68" t="s">
        <v>499</v>
      </c>
    </row>
    <row r="69" spans="3:3" x14ac:dyDescent="0.25">
      <c r="C69" t="s">
        <v>505</v>
      </c>
    </row>
    <row r="70" spans="3:3" x14ac:dyDescent="0.25">
      <c r="C70" t="s">
        <v>509</v>
      </c>
    </row>
    <row r="71" spans="3:3" x14ac:dyDescent="0.25">
      <c r="C71" t="s">
        <v>514</v>
      </c>
    </row>
    <row r="72" spans="3:3" x14ac:dyDescent="0.25">
      <c r="C72" t="s">
        <v>519</v>
      </c>
    </row>
    <row r="73" spans="3:3" x14ac:dyDescent="0.25">
      <c r="C73" t="s">
        <v>523</v>
      </c>
    </row>
    <row r="74" spans="3:3" x14ac:dyDescent="0.25">
      <c r="C74" t="s">
        <v>530</v>
      </c>
    </row>
    <row r="75" spans="3:3" x14ac:dyDescent="0.25">
      <c r="C75" t="s">
        <v>536</v>
      </c>
    </row>
    <row r="76" spans="3:3" x14ac:dyDescent="0.25">
      <c r="C76" t="s">
        <v>541</v>
      </c>
    </row>
    <row r="77" spans="3:3" x14ac:dyDescent="0.25">
      <c r="C77" t="s">
        <v>546</v>
      </c>
    </row>
    <row r="78" spans="3:3" x14ac:dyDescent="0.25">
      <c r="C78" t="s">
        <v>551</v>
      </c>
    </row>
    <row r="79" spans="3:3" x14ac:dyDescent="0.25">
      <c r="C79" t="s">
        <v>556</v>
      </c>
    </row>
    <row r="80" spans="3:3" x14ac:dyDescent="0.25">
      <c r="C80" t="s">
        <v>560</v>
      </c>
    </row>
    <row r="81" spans="3:3" x14ac:dyDescent="0.25">
      <c r="C81" t="s">
        <v>565</v>
      </c>
    </row>
    <row r="82" spans="3:3" x14ac:dyDescent="0.25">
      <c r="C82" t="s">
        <v>570</v>
      </c>
    </row>
    <row r="83" spans="3:3" x14ac:dyDescent="0.25">
      <c r="C83" t="s">
        <v>575</v>
      </c>
    </row>
    <row r="84" spans="3:3" x14ac:dyDescent="0.25">
      <c r="C84" t="s">
        <v>579</v>
      </c>
    </row>
    <row r="85" spans="3:3" x14ac:dyDescent="0.25">
      <c r="C85" t="s">
        <v>584</v>
      </c>
    </row>
    <row r="86" spans="3:3" x14ac:dyDescent="0.25">
      <c r="C86" t="s">
        <v>590</v>
      </c>
    </row>
    <row r="87" spans="3:3" x14ac:dyDescent="0.25">
      <c r="C87" t="s">
        <v>594</v>
      </c>
    </row>
    <row r="88" spans="3:3" x14ac:dyDescent="0.25">
      <c r="C88" t="s">
        <v>601</v>
      </c>
    </row>
    <row r="89" spans="3:3" x14ac:dyDescent="0.25">
      <c r="C89" t="s">
        <v>606</v>
      </c>
    </row>
    <row r="90" spans="3:3" x14ac:dyDescent="0.25">
      <c r="C90" t="s">
        <v>616</v>
      </c>
    </row>
    <row r="91" spans="3:3" x14ac:dyDescent="0.25">
      <c r="C91" t="s">
        <v>622</v>
      </c>
    </row>
    <row r="92" spans="3:3" x14ac:dyDescent="0.25">
      <c r="C92" t="s">
        <v>627</v>
      </c>
    </row>
    <row r="93" spans="3:3" x14ac:dyDescent="0.25">
      <c r="C93" t="s">
        <v>633</v>
      </c>
    </row>
    <row r="94" spans="3:3" x14ac:dyDescent="0.25">
      <c r="C94" t="s">
        <v>638</v>
      </c>
    </row>
    <row r="95" spans="3:3" x14ac:dyDescent="0.25">
      <c r="C95" t="s">
        <v>644</v>
      </c>
    </row>
    <row r="96" spans="3:3" x14ac:dyDescent="0.25">
      <c r="C96" t="s">
        <v>650</v>
      </c>
    </row>
    <row r="97" spans="3:3" x14ac:dyDescent="0.25">
      <c r="C97" t="s">
        <v>651</v>
      </c>
    </row>
    <row r="98" spans="3:3" x14ac:dyDescent="0.25">
      <c r="C98" t="s">
        <v>657</v>
      </c>
    </row>
    <row r="99" spans="3:3" x14ac:dyDescent="0.25">
      <c r="C99" t="s">
        <v>661</v>
      </c>
    </row>
    <row r="100" spans="3:3" x14ac:dyDescent="0.25">
      <c r="C100" t="s">
        <v>665</v>
      </c>
    </row>
    <row r="101" spans="3:3" x14ac:dyDescent="0.25">
      <c r="C101" t="s">
        <v>670</v>
      </c>
    </row>
    <row r="102" spans="3:3" x14ac:dyDescent="0.25">
      <c r="C102" t="s">
        <v>674</v>
      </c>
    </row>
    <row r="103" spans="3:3" x14ac:dyDescent="0.25">
      <c r="C103" t="s">
        <v>678</v>
      </c>
    </row>
    <row r="104" spans="3:3" x14ac:dyDescent="0.25">
      <c r="C104" t="s">
        <v>682</v>
      </c>
    </row>
    <row r="105" spans="3:3" x14ac:dyDescent="0.25">
      <c r="C105" t="s">
        <v>686</v>
      </c>
    </row>
    <row r="106" spans="3:3" x14ac:dyDescent="0.25">
      <c r="C106" t="s">
        <v>690</v>
      </c>
    </row>
    <row r="107" spans="3:3" x14ac:dyDescent="0.25">
      <c r="C107" t="s">
        <v>694</v>
      </c>
    </row>
    <row r="108" spans="3:3" x14ac:dyDescent="0.25">
      <c r="C108" t="s">
        <v>698</v>
      </c>
    </row>
    <row r="109" spans="3:3" x14ac:dyDescent="0.25">
      <c r="C109" t="s">
        <v>702</v>
      </c>
    </row>
    <row r="110" spans="3:3" x14ac:dyDescent="0.25">
      <c r="C110" t="s">
        <v>707</v>
      </c>
    </row>
    <row r="111" spans="3:3" x14ac:dyDescent="0.25">
      <c r="C111" t="s">
        <v>711</v>
      </c>
    </row>
    <row r="112" spans="3:3" x14ac:dyDescent="0.25">
      <c r="C112" t="s">
        <v>714</v>
      </c>
    </row>
    <row r="113" spans="3:3" x14ac:dyDescent="0.25">
      <c r="C113" t="s">
        <v>718</v>
      </c>
    </row>
    <row r="114" spans="3:3" x14ac:dyDescent="0.25">
      <c r="C114" t="s">
        <v>722</v>
      </c>
    </row>
    <row r="115" spans="3:3" x14ac:dyDescent="0.25">
      <c r="C115" t="s">
        <v>726</v>
      </c>
    </row>
    <row r="116" spans="3:3" x14ac:dyDescent="0.25">
      <c r="C116" t="s">
        <v>730</v>
      </c>
    </row>
    <row r="117" spans="3:3" x14ac:dyDescent="0.25">
      <c r="C117" t="s">
        <v>734</v>
      </c>
    </row>
    <row r="118" spans="3:3" x14ac:dyDescent="0.25">
      <c r="C118" t="s">
        <v>738</v>
      </c>
    </row>
    <row r="119" spans="3:3" x14ac:dyDescent="0.25">
      <c r="C119" t="s">
        <v>742</v>
      </c>
    </row>
    <row r="120" spans="3:3" x14ac:dyDescent="0.25">
      <c r="C120" t="s">
        <v>748</v>
      </c>
    </row>
    <row r="121" spans="3:3" x14ac:dyDescent="0.25">
      <c r="C121" t="s">
        <v>753</v>
      </c>
    </row>
    <row r="122" spans="3:3" x14ac:dyDescent="0.25">
      <c r="C122" t="s">
        <v>756</v>
      </c>
    </row>
    <row r="123" spans="3:3" x14ac:dyDescent="0.25">
      <c r="C123" t="s">
        <v>761</v>
      </c>
    </row>
    <row r="124" spans="3:3" x14ac:dyDescent="0.25">
      <c r="C124" t="s">
        <v>767</v>
      </c>
    </row>
    <row r="125" spans="3:3" x14ac:dyDescent="0.25">
      <c r="C125" t="s">
        <v>773</v>
      </c>
    </row>
    <row r="126" spans="3:3" x14ac:dyDescent="0.25">
      <c r="C126" t="s">
        <v>776</v>
      </c>
    </row>
    <row r="127" spans="3:3" x14ac:dyDescent="0.25">
      <c r="C127" t="s">
        <v>779</v>
      </c>
    </row>
    <row r="128" spans="3:3" x14ac:dyDescent="0.25">
      <c r="C128" t="s">
        <v>781</v>
      </c>
    </row>
    <row r="129" spans="3:3" x14ac:dyDescent="0.25">
      <c r="C129" t="s">
        <v>783</v>
      </c>
    </row>
    <row r="130" spans="3:3" x14ac:dyDescent="0.25">
      <c r="C130" t="s">
        <v>788</v>
      </c>
    </row>
    <row r="131" spans="3:3" x14ac:dyDescent="0.25">
      <c r="C131" t="s">
        <v>791</v>
      </c>
    </row>
    <row r="132" spans="3:3" x14ac:dyDescent="0.25">
      <c r="C132" t="s">
        <v>794</v>
      </c>
    </row>
    <row r="133" spans="3:3" x14ac:dyDescent="0.25">
      <c r="C133" t="s">
        <v>797</v>
      </c>
    </row>
    <row r="134" spans="3:3" x14ac:dyDescent="0.25">
      <c r="C134" t="s">
        <v>801</v>
      </c>
    </row>
    <row r="135" spans="3:3" x14ac:dyDescent="0.25">
      <c r="C135" t="s">
        <v>803</v>
      </c>
    </row>
    <row r="136" spans="3:3" x14ac:dyDescent="0.25">
      <c r="C136" t="s">
        <v>808</v>
      </c>
    </row>
    <row r="137" spans="3:3" x14ac:dyDescent="0.25">
      <c r="C137" t="s">
        <v>815</v>
      </c>
    </row>
    <row r="138" spans="3:3" x14ac:dyDescent="0.25">
      <c r="C138" t="s">
        <v>818</v>
      </c>
    </row>
    <row r="139" spans="3:3" x14ac:dyDescent="0.25">
      <c r="C139" t="s">
        <v>821</v>
      </c>
    </row>
    <row r="140" spans="3:3" x14ac:dyDescent="0.25">
      <c r="C140" t="s">
        <v>824</v>
      </c>
    </row>
    <row r="141" spans="3:3" x14ac:dyDescent="0.25">
      <c r="C141" t="s">
        <v>827</v>
      </c>
    </row>
    <row r="142" spans="3:3" x14ac:dyDescent="0.25">
      <c r="C142" t="s">
        <v>830</v>
      </c>
    </row>
    <row r="143" spans="3:3" x14ac:dyDescent="0.25">
      <c r="C143" t="s">
        <v>832</v>
      </c>
    </row>
    <row r="144" spans="3:3" x14ac:dyDescent="0.25">
      <c r="C144" t="s">
        <v>835</v>
      </c>
    </row>
    <row r="145" spans="3:3" x14ac:dyDescent="0.25">
      <c r="C145" t="s">
        <v>837</v>
      </c>
    </row>
    <row r="146" spans="3:3" x14ac:dyDescent="0.25">
      <c r="C146" t="s">
        <v>839</v>
      </c>
    </row>
    <row r="147" spans="3:3" x14ac:dyDescent="0.25">
      <c r="C147" t="s">
        <v>842</v>
      </c>
    </row>
    <row r="148" spans="3:3" x14ac:dyDescent="0.25">
      <c r="C148" t="s">
        <v>844</v>
      </c>
    </row>
    <row r="149" spans="3:3" x14ac:dyDescent="0.25">
      <c r="C149" t="s">
        <v>847</v>
      </c>
    </row>
    <row r="150" spans="3:3" x14ac:dyDescent="0.25">
      <c r="C150" t="s">
        <v>849</v>
      </c>
    </row>
    <row r="151" spans="3:3" x14ac:dyDescent="0.25">
      <c r="C151" t="s">
        <v>852</v>
      </c>
    </row>
    <row r="152" spans="3:3" x14ac:dyDescent="0.25">
      <c r="C152" t="s">
        <v>854</v>
      </c>
    </row>
    <row r="153" spans="3:3" x14ac:dyDescent="0.25">
      <c r="C153" t="s">
        <v>856</v>
      </c>
    </row>
    <row r="154" spans="3:3" x14ac:dyDescent="0.25">
      <c r="C154" t="s">
        <v>858</v>
      </c>
    </row>
    <row r="155" spans="3:3" x14ac:dyDescent="0.25">
      <c r="C155" t="s">
        <v>861</v>
      </c>
    </row>
    <row r="156" spans="3:3" x14ac:dyDescent="0.25">
      <c r="C156" t="s">
        <v>865</v>
      </c>
    </row>
    <row r="157" spans="3:3" x14ac:dyDescent="0.25">
      <c r="C157" t="s">
        <v>871</v>
      </c>
    </row>
    <row r="158" spans="3:3" x14ac:dyDescent="0.25">
      <c r="C158" t="s">
        <v>876</v>
      </c>
    </row>
    <row r="159" spans="3:3" x14ac:dyDescent="0.25">
      <c r="C159" t="s">
        <v>882</v>
      </c>
    </row>
    <row r="160" spans="3:3" x14ac:dyDescent="0.25">
      <c r="C160" t="s">
        <v>887</v>
      </c>
    </row>
    <row r="161" spans="3:3" x14ac:dyDescent="0.25">
      <c r="C161" t="s">
        <v>892</v>
      </c>
    </row>
    <row r="162" spans="3:3" x14ac:dyDescent="0.25">
      <c r="C162" t="s">
        <v>897</v>
      </c>
    </row>
    <row r="163" spans="3:3" x14ac:dyDescent="0.25">
      <c r="C163" t="s">
        <v>901</v>
      </c>
    </row>
    <row r="164" spans="3:3" x14ac:dyDescent="0.25">
      <c r="C164" t="s">
        <v>907</v>
      </c>
    </row>
    <row r="165" spans="3:3" x14ac:dyDescent="0.25">
      <c r="C165" t="s">
        <v>912</v>
      </c>
    </row>
    <row r="166" spans="3:3" x14ac:dyDescent="0.25">
      <c r="C166" t="s">
        <v>917</v>
      </c>
    </row>
    <row r="167" spans="3:3" x14ac:dyDescent="0.25">
      <c r="C167" t="s">
        <v>923</v>
      </c>
    </row>
    <row r="168" spans="3:3" x14ac:dyDescent="0.25">
      <c r="C168" t="s">
        <v>928</v>
      </c>
    </row>
    <row r="169" spans="3:3" x14ac:dyDescent="0.25">
      <c r="C169" t="s">
        <v>933</v>
      </c>
    </row>
    <row r="170" spans="3:3" x14ac:dyDescent="0.25">
      <c r="C170" t="s">
        <v>939</v>
      </c>
    </row>
    <row r="171" spans="3:3" x14ac:dyDescent="0.25">
      <c r="C171" t="s">
        <v>944</v>
      </c>
    </row>
    <row r="172" spans="3:3" x14ac:dyDescent="0.25">
      <c r="C172" t="s">
        <v>950</v>
      </c>
    </row>
    <row r="173" spans="3:3" x14ac:dyDescent="0.25">
      <c r="C173" t="s">
        <v>955</v>
      </c>
    </row>
    <row r="174" spans="3:3" x14ac:dyDescent="0.25">
      <c r="C174" t="s">
        <v>960</v>
      </c>
    </row>
    <row r="175" spans="3:3" x14ac:dyDescent="0.25">
      <c r="C175" t="s">
        <v>964</v>
      </c>
    </row>
    <row r="176" spans="3:3" x14ac:dyDescent="0.25">
      <c r="C176" t="s">
        <v>967</v>
      </c>
    </row>
    <row r="177" spans="3:3" x14ac:dyDescent="0.25">
      <c r="C177" t="s">
        <v>973</v>
      </c>
    </row>
    <row r="178" spans="3:3" x14ac:dyDescent="0.25">
      <c r="C178" t="s">
        <v>978</v>
      </c>
    </row>
    <row r="179" spans="3:3" x14ac:dyDescent="0.25">
      <c r="C179" t="s">
        <v>982</v>
      </c>
    </row>
    <row r="180" spans="3:3" x14ac:dyDescent="0.25">
      <c r="C180" t="s">
        <v>987</v>
      </c>
    </row>
    <row r="181" spans="3:3" x14ac:dyDescent="0.25">
      <c r="C181" t="s">
        <v>992</v>
      </c>
    </row>
    <row r="182" spans="3:3" x14ac:dyDescent="0.25">
      <c r="C182" t="s">
        <v>998</v>
      </c>
    </row>
    <row r="183" spans="3:3" x14ac:dyDescent="0.25">
      <c r="C183" t="s">
        <v>1003</v>
      </c>
    </row>
    <row r="184" spans="3:3" x14ac:dyDescent="0.25">
      <c r="C184" t="s">
        <v>1008</v>
      </c>
    </row>
    <row r="185" spans="3:3" x14ac:dyDescent="0.25">
      <c r="C185" t="s">
        <v>1014</v>
      </c>
    </row>
    <row r="186" spans="3:3" x14ac:dyDescent="0.25">
      <c r="C186" t="s">
        <v>1019</v>
      </c>
    </row>
    <row r="187" spans="3:3" x14ac:dyDescent="0.25">
      <c r="C187" t="s">
        <v>1024</v>
      </c>
    </row>
    <row r="188" spans="3:3" x14ac:dyDescent="0.25">
      <c r="C188" t="s">
        <v>1032</v>
      </c>
    </row>
    <row r="189" spans="3:3" x14ac:dyDescent="0.25">
      <c r="C189" t="s">
        <v>1034</v>
      </c>
    </row>
    <row r="190" spans="3:3" x14ac:dyDescent="0.25">
      <c r="C190" t="s">
        <v>1037</v>
      </c>
    </row>
    <row r="191" spans="3:3" x14ac:dyDescent="0.25">
      <c r="C191" t="s">
        <v>1041</v>
      </c>
    </row>
    <row r="192" spans="3:3" x14ac:dyDescent="0.25">
      <c r="C192" t="s">
        <v>1043</v>
      </c>
    </row>
    <row r="193" spans="3:3" x14ac:dyDescent="0.25">
      <c r="C193" t="s">
        <v>1047</v>
      </c>
    </row>
    <row r="194" spans="3:3" x14ac:dyDescent="0.25">
      <c r="C194" t="s">
        <v>1053</v>
      </c>
    </row>
    <row r="195" spans="3:3" x14ac:dyDescent="0.25">
      <c r="C195" t="s">
        <v>1058</v>
      </c>
    </row>
    <row r="196" spans="3:3" x14ac:dyDescent="0.25">
      <c r="C196" t="s">
        <v>1066</v>
      </c>
    </row>
    <row r="197" spans="3:3" x14ac:dyDescent="0.25">
      <c r="C197" t="s">
        <v>1072</v>
      </c>
    </row>
    <row r="198" spans="3:3" x14ac:dyDescent="0.25">
      <c r="C198" t="s">
        <v>1077</v>
      </c>
    </row>
    <row r="199" spans="3:3" x14ac:dyDescent="0.25">
      <c r="C199" t="s">
        <v>1083</v>
      </c>
    </row>
    <row r="200" spans="3:3" x14ac:dyDescent="0.25">
      <c r="C200" t="s">
        <v>1088</v>
      </c>
    </row>
    <row r="201" spans="3:3" x14ac:dyDescent="0.25">
      <c r="C201" t="s">
        <v>1093</v>
      </c>
    </row>
    <row r="202" spans="3:3" x14ac:dyDescent="0.25">
      <c r="C202" t="s">
        <v>1099</v>
      </c>
    </row>
    <row r="203" spans="3:3" x14ac:dyDescent="0.25">
      <c r="C203" t="s">
        <v>1104</v>
      </c>
    </row>
    <row r="204" spans="3:3" x14ac:dyDescent="0.25">
      <c r="C204" t="s">
        <v>1108</v>
      </c>
    </row>
    <row r="205" spans="3:3" x14ac:dyDescent="0.25">
      <c r="C205" t="s">
        <v>1113</v>
      </c>
    </row>
    <row r="206" spans="3:3" x14ac:dyDescent="0.25">
      <c r="C206" t="s">
        <v>1119</v>
      </c>
    </row>
    <row r="207" spans="3:3" x14ac:dyDescent="0.25">
      <c r="C207" t="s">
        <v>1122</v>
      </c>
    </row>
    <row r="208" spans="3:3" x14ac:dyDescent="0.25">
      <c r="C208" t="s">
        <v>1128</v>
      </c>
    </row>
    <row r="209" spans="3:3" x14ac:dyDescent="0.25">
      <c r="C209" t="s">
        <v>1131</v>
      </c>
    </row>
    <row r="210" spans="3:3" x14ac:dyDescent="0.25">
      <c r="C210" t="s">
        <v>1135</v>
      </c>
    </row>
    <row r="211" spans="3:3" x14ac:dyDescent="0.25">
      <c r="C211" t="s">
        <v>1141</v>
      </c>
    </row>
    <row r="212" spans="3:3" x14ac:dyDescent="0.25">
      <c r="C212" t="s">
        <v>1147</v>
      </c>
    </row>
    <row r="213" spans="3:3" x14ac:dyDescent="0.25">
      <c r="C213" t="s">
        <v>1153</v>
      </c>
    </row>
    <row r="214" spans="3:3" x14ac:dyDescent="0.25">
      <c r="C214" t="s">
        <v>1158</v>
      </c>
    </row>
    <row r="215" spans="3:3" x14ac:dyDescent="0.25">
      <c r="C215" t="s">
        <v>1163</v>
      </c>
    </row>
    <row r="216" spans="3:3" x14ac:dyDescent="0.25">
      <c r="C216" t="s">
        <v>1169</v>
      </c>
    </row>
    <row r="217" spans="3:3" x14ac:dyDescent="0.25">
      <c r="C217" t="s">
        <v>1173</v>
      </c>
    </row>
    <row r="218" spans="3:3" x14ac:dyDescent="0.25">
      <c r="C218" t="s">
        <v>1179</v>
      </c>
    </row>
    <row r="219" spans="3:3" x14ac:dyDescent="0.25">
      <c r="C219" t="s">
        <v>1188</v>
      </c>
    </row>
    <row r="220" spans="3:3" x14ac:dyDescent="0.25">
      <c r="C220" t="s">
        <v>1193</v>
      </c>
    </row>
    <row r="221" spans="3:3" x14ac:dyDescent="0.25">
      <c r="C221" t="s">
        <v>1199</v>
      </c>
    </row>
    <row r="222" spans="3:3" x14ac:dyDescent="0.25">
      <c r="C222" t="s">
        <v>1205</v>
      </c>
    </row>
    <row r="223" spans="3:3" x14ac:dyDescent="0.25">
      <c r="C223" t="s">
        <v>1211</v>
      </c>
    </row>
    <row r="224" spans="3:3" x14ac:dyDescent="0.25">
      <c r="C224" t="s">
        <v>1220</v>
      </c>
    </row>
    <row r="225" spans="3:3" x14ac:dyDescent="0.25">
      <c r="C225" t="s">
        <v>1225</v>
      </c>
    </row>
    <row r="226" spans="3:3" x14ac:dyDescent="0.25">
      <c r="C226" t="s">
        <v>1229</v>
      </c>
    </row>
    <row r="227" spans="3:3" x14ac:dyDescent="0.25">
      <c r="C227" t="s">
        <v>1234</v>
      </c>
    </row>
    <row r="228" spans="3:3" x14ac:dyDescent="0.25">
      <c r="C228" t="s">
        <v>1239</v>
      </c>
    </row>
    <row r="229" spans="3:3" x14ac:dyDescent="0.25">
      <c r="C229" t="s">
        <v>1244</v>
      </c>
    </row>
    <row r="230" spans="3:3" x14ac:dyDescent="0.25">
      <c r="C230" t="s">
        <v>1249</v>
      </c>
    </row>
    <row r="231" spans="3:3" x14ac:dyDescent="0.25">
      <c r="C231" t="s">
        <v>1254</v>
      </c>
    </row>
    <row r="232" spans="3:3" x14ac:dyDescent="0.25">
      <c r="C232" t="s">
        <v>1260</v>
      </c>
    </row>
    <row r="233" spans="3:3" x14ac:dyDescent="0.25">
      <c r="C233" t="s">
        <v>1265</v>
      </c>
    </row>
    <row r="234" spans="3:3" x14ac:dyDescent="0.25">
      <c r="C234" t="s">
        <v>1270</v>
      </c>
    </row>
    <row r="235" spans="3:3" x14ac:dyDescent="0.25">
      <c r="C235" t="s">
        <v>1276</v>
      </c>
    </row>
    <row r="236" spans="3:3" x14ac:dyDescent="0.25">
      <c r="C236" t="s">
        <v>1280</v>
      </c>
    </row>
    <row r="237" spans="3:3" x14ac:dyDescent="0.25">
      <c r="C237" t="s">
        <v>1285</v>
      </c>
    </row>
    <row r="238" spans="3:3" x14ac:dyDescent="0.25">
      <c r="C238" t="s">
        <v>1289</v>
      </c>
    </row>
    <row r="239" spans="3:3" x14ac:dyDescent="0.25">
      <c r="C239" t="s">
        <v>1295</v>
      </c>
    </row>
    <row r="240" spans="3:3" x14ac:dyDescent="0.25">
      <c r="C240" t="s">
        <v>1301</v>
      </c>
    </row>
    <row r="241" spans="3:3" x14ac:dyDescent="0.25">
      <c r="C241" t="s">
        <v>1306</v>
      </c>
    </row>
    <row r="242" spans="3:3" x14ac:dyDescent="0.25">
      <c r="C242" t="s">
        <v>1309</v>
      </c>
    </row>
    <row r="243" spans="3:3" x14ac:dyDescent="0.25">
      <c r="C243" t="s">
        <v>1312</v>
      </c>
    </row>
    <row r="244" spans="3:3" x14ac:dyDescent="0.25">
      <c r="C244" t="s">
        <v>1316</v>
      </c>
    </row>
    <row r="245" spans="3:3" x14ac:dyDescent="0.25">
      <c r="C245" t="s">
        <v>1320</v>
      </c>
    </row>
    <row r="246" spans="3:3" x14ac:dyDescent="0.25">
      <c r="C246" t="s">
        <v>1324</v>
      </c>
    </row>
    <row r="247" spans="3:3" x14ac:dyDescent="0.25">
      <c r="C247" t="s">
        <v>1330</v>
      </c>
    </row>
    <row r="248" spans="3:3" x14ac:dyDescent="0.25">
      <c r="C248" t="s">
        <v>1335</v>
      </c>
    </row>
    <row r="249" spans="3:3" x14ac:dyDescent="0.25">
      <c r="C249" t="s">
        <v>1340</v>
      </c>
    </row>
    <row r="250" spans="3:3" x14ac:dyDescent="0.25">
      <c r="C250" t="s">
        <v>1346</v>
      </c>
    </row>
    <row r="251" spans="3:3" x14ac:dyDescent="0.25">
      <c r="C251" t="s">
        <v>1351</v>
      </c>
    </row>
    <row r="252" spans="3:3" x14ac:dyDescent="0.25">
      <c r="C252" t="s">
        <v>1356</v>
      </c>
    </row>
    <row r="253" spans="3:3" x14ac:dyDescent="0.25">
      <c r="C253" t="s">
        <v>1361</v>
      </c>
    </row>
    <row r="254" spans="3:3" x14ac:dyDescent="0.25">
      <c r="C254" t="s">
        <v>1366</v>
      </c>
    </row>
    <row r="255" spans="3:3" x14ac:dyDescent="0.25">
      <c r="C255" t="s">
        <v>1372</v>
      </c>
    </row>
    <row r="256" spans="3:3" x14ac:dyDescent="0.25">
      <c r="C256" t="s">
        <v>1376</v>
      </c>
    </row>
    <row r="257" spans="3:3" x14ac:dyDescent="0.25">
      <c r="C257" t="s">
        <v>1381</v>
      </c>
    </row>
    <row r="258" spans="3:3" x14ac:dyDescent="0.25">
      <c r="C258" t="s">
        <v>1386</v>
      </c>
    </row>
    <row r="259" spans="3:3" x14ac:dyDescent="0.25">
      <c r="C259" t="s">
        <v>1390</v>
      </c>
    </row>
    <row r="260" spans="3:3" x14ac:dyDescent="0.25">
      <c r="C260" t="s">
        <v>1395</v>
      </c>
    </row>
    <row r="261" spans="3:3" x14ac:dyDescent="0.25">
      <c r="C261" t="s">
        <v>1401</v>
      </c>
    </row>
    <row r="262" spans="3:3" x14ac:dyDescent="0.25">
      <c r="C262" t="s">
        <v>1406</v>
      </c>
    </row>
    <row r="263" spans="3:3" x14ac:dyDescent="0.25">
      <c r="C263" t="s">
        <v>1413</v>
      </c>
    </row>
    <row r="264" spans="3:3" x14ac:dyDescent="0.25">
      <c r="C264" t="s">
        <v>1415</v>
      </c>
    </row>
    <row r="265" spans="3:3" x14ac:dyDescent="0.25">
      <c r="C265" t="s">
        <v>1422</v>
      </c>
    </row>
    <row r="266" spans="3:3" x14ac:dyDescent="0.25">
      <c r="C266" t="s">
        <v>1426</v>
      </c>
    </row>
    <row r="267" spans="3:3" x14ac:dyDescent="0.25">
      <c r="C267" t="s">
        <v>1430</v>
      </c>
    </row>
    <row r="268" spans="3:3" x14ac:dyDescent="0.25">
      <c r="C268" t="s">
        <v>1434</v>
      </c>
    </row>
    <row r="269" spans="3:3" x14ac:dyDescent="0.25">
      <c r="C269" t="s">
        <v>1440</v>
      </c>
    </row>
    <row r="270" spans="3:3" x14ac:dyDescent="0.25">
      <c r="C270" t="s">
        <v>1443</v>
      </c>
    </row>
    <row r="271" spans="3:3" x14ac:dyDescent="0.25">
      <c r="C271" t="s">
        <v>1449</v>
      </c>
    </row>
    <row r="272" spans="3:3" x14ac:dyDescent="0.25">
      <c r="C272" t="s">
        <v>1455</v>
      </c>
    </row>
    <row r="273" spans="3:3" x14ac:dyDescent="0.25">
      <c r="C273" t="s">
        <v>1460</v>
      </c>
    </row>
    <row r="274" spans="3:3" x14ac:dyDescent="0.25">
      <c r="C274" t="s">
        <v>1465</v>
      </c>
    </row>
    <row r="275" spans="3:3" x14ac:dyDescent="0.25">
      <c r="C275" t="s">
        <v>1470</v>
      </c>
    </row>
    <row r="276" spans="3:3" x14ac:dyDescent="0.25">
      <c r="C276" t="s">
        <v>1475</v>
      </c>
    </row>
    <row r="277" spans="3:3" x14ac:dyDescent="0.25">
      <c r="C277" t="s">
        <v>1480</v>
      </c>
    </row>
    <row r="278" spans="3:3" x14ac:dyDescent="0.25">
      <c r="C278" t="s">
        <v>1485</v>
      </c>
    </row>
    <row r="279" spans="3:3" x14ac:dyDescent="0.25">
      <c r="C279" t="s">
        <v>1491</v>
      </c>
    </row>
    <row r="280" spans="3:3" x14ac:dyDescent="0.25">
      <c r="C280" t="s">
        <v>1495</v>
      </c>
    </row>
    <row r="281" spans="3:3" x14ac:dyDescent="0.25">
      <c r="C281" t="s">
        <v>1498</v>
      </c>
    </row>
    <row r="282" spans="3:3" x14ac:dyDescent="0.25">
      <c r="C282" t="s">
        <v>1503</v>
      </c>
    </row>
    <row r="283" spans="3:3" x14ac:dyDescent="0.25">
      <c r="C283" t="s">
        <v>1509</v>
      </c>
    </row>
    <row r="284" spans="3:3" x14ac:dyDescent="0.25">
      <c r="C284" t="s">
        <v>1515</v>
      </c>
    </row>
    <row r="285" spans="3:3" x14ac:dyDescent="0.25">
      <c r="C285" t="s">
        <v>1517</v>
      </c>
    </row>
    <row r="286" spans="3:3" x14ac:dyDescent="0.25">
      <c r="C286" t="s">
        <v>1522</v>
      </c>
    </row>
    <row r="287" spans="3:3" x14ac:dyDescent="0.25">
      <c r="C287" t="s">
        <v>1528</v>
      </c>
    </row>
    <row r="288" spans="3:3" x14ac:dyDescent="0.25">
      <c r="C288" t="s">
        <v>1533</v>
      </c>
    </row>
    <row r="289" spans="3:3" x14ac:dyDescent="0.25">
      <c r="C289" t="s">
        <v>1539</v>
      </c>
    </row>
    <row r="290" spans="3:3" x14ac:dyDescent="0.25">
      <c r="C290" t="s">
        <v>1544</v>
      </c>
    </row>
    <row r="291" spans="3:3" x14ac:dyDescent="0.25">
      <c r="C291" t="s">
        <v>1549</v>
      </c>
    </row>
    <row r="292" spans="3:3" x14ac:dyDescent="0.25">
      <c r="C292" t="s">
        <v>1554</v>
      </c>
    </row>
    <row r="293" spans="3:3" x14ac:dyDescent="0.25">
      <c r="C293" t="s">
        <v>1559</v>
      </c>
    </row>
    <row r="294" spans="3:3" x14ac:dyDescent="0.25">
      <c r="C294" t="s">
        <v>1564</v>
      </c>
    </row>
    <row r="295" spans="3:3" x14ac:dyDescent="0.25">
      <c r="C295" t="s">
        <v>1568</v>
      </c>
    </row>
    <row r="296" spans="3:3" x14ac:dyDescent="0.25">
      <c r="C296" t="s">
        <v>1573</v>
      </c>
    </row>
    <row r="297" spans="3:3" x14ac:dyDescent="0.25">
      <c r="C297" t="s">
        <v>1577</v>
      </c>
    </row>
    <row r="298" spans="3:3" x14ac:dyDescent="0.25">
      <c r="C298" t="s">
        <v>1579</v>
      </c>
    </row>
    <row r="299" spans="3:3" x14ac:dyDescent="0.25">
      <c r="C299" t="s">
        <v>1584</v>
      </c>
    </row>
    <row r="300" spans="3:3" x14ac:dyDescent="0.25">
      <c r="C300" t="s">
        <v>1590</v>
      </c>
    </row>
    <row r="301" spans="3:3" x14ac:dyDescent="0.25">
      <c r="C301" t="s">
        <v>1595</v>
      </c>
    </row>
    <row r="302" spans="3:3" x14ac:dyDescent="0.25">
      <c r="C302" t="s">
        <v>1600</v>
      </c>
    </row>
    <row r="303" spans="3:3" x14ac:dyDescent="0.25">
      <c r="C303" t="s">
        <v>1604</v>
      </c>
    </row>
    <row r="304" spans="3:3" x14ac:dyDescent="0.25">
      <c r="C304" t="s">
        <v>1609</v>
      </c>
    </row>
    <row r="305" spans="3:3" x14ac:dyDescent="0.25">
      <c r="C305" t="s">
        <v>1614</v>
      </c>
    </row>
    <row r="306" spans="3:3" x14ac:dyDescent="0.25">
      <c r="C306" t="s">
        <v>1620</v>
      </c>
    </row>
    <row r="307" spans="3:3" x14ac:dyDescent="0.25">
      <c r="C307" t="s">
        <v>1625</v>
      </c>
    </row>
    <row r="308" spans="3:3" x14ac:dyDescent="0.25">
      <c r="C308" t="s">
        <v>1631</v>
      </c>
    </row>
    <row r="309" spans="3:3" x14ac:dyDescent="0.25">
      <c r="C309" t="s">
        <v>1636</v>
      </c>
    </row>
    <row r="310" spans="3:3" x14ac:dyDescent="0.25">
      <c r="C310" t="s">
        <v>1643</v>
      </c>
    </row>
    <row r="311" spans="3:3" x14ac:dyDescent="0.25">
      <c r="C311" t="s">
        <v>1647</v>
      </c>
    </row>
    <row r="312" spans="3:3" x14ac:dyDescent="0.25">
      <c r="C312" t="s">
        <v>1650</v>
      </c>
    </row>
    <row r="313" spans="3:3" x14ac:dyDescent="0.25">
      <c r="C313" t="s">
        <v>1653</v>
      </c>
    </row>
    <row r="314" spans="3:3" x14ac:dyDescent="0.25">
      <c r="C314" t="s">
        <v>1655</v>
      </c>
    </row>
    <row r="315" spans="3:3" x14ac:dyDescent="0.25">
      <c r="C315" t="s">
        <v>1657</v>
      </c>
    </row>
    <row r="316" spans="3:3" x14ac:dyDescent="0.25">
      <c r="C316" t="s">
        <v>1660</v>
      </c>
    </row>
    <row r="317" spans="3:3" x14ac:dyDescent="0.25">
      <c r="C317" t="s">
        <v>1666</v>
      </c>
    </row>
    <row r="318" spans="3:3" x14ac:dyDescent="0.25">
      <c r="C318" t="s">
        <v>1668</v>
      </c>
    </row>
    <row r="319" spans="3:3" x14ac:dyDescent="0.25">
      <c r="C319" t="s">
        <v>1674</v>
      </c>
    </row>
    <row r="320" spans="3:3" x14ac:dyDescent="0.25">
      <c r="C320" t="s">
        <v>1683</v>
      </c>
    </row>
    <row r="321" spans="3:3" x14ac:dyDescent="0.25">
      <c r="C321" t="s">
        <v>1688</v>
      </c>
    </row>
    <row r="322" spans="3:3" x14ac:dyDescent="0.25">
      <c r="C322" t="s">
        <v>1694</v>
      </c>
    </row>
    <row r="323" spans="3:3" x14ac:dyDescent="0.25">
      <c r="C323" t="s">
        <v>1699</v>
      </c>
    </row>
    <row r="324" spans="3:3" x14ac:dyDescent="0.25">
      <c r="C324" t="s">
        <v>1704</v>
      </c>
    </row>
    <row r="325" spans="3:3" x14ac:dyDescent="0.25">
      <c r="C325" t="s">
        <v>1710</v>
      </c>
    </row>
    <row r="326" spans="3:3" x14ac:dyDescent="0.25">
      <c r="C326" t="s">
        <v>1712</v>
      </c>
    </row>
    <row r="327" spans="3:3" x14ac:dyDescent="0.25">
      <c r="C327" t="s">
        <v>1717</v>
      </c>
    </row>
    <row r="328" spans="3:3" x14ac:dyDescent="0.25">
      <c r="C328" t="s">
        <v>1722</v>
      </c>
    </row>
    <row r="329" spans="3:3" x14ac:dyDescent="0.25">
      <c r="C329" t="s">
        <v>1727</v>
      </c>
    </row>
    <row r="330" spans="3:3" x14ac:dyDescent="0.25">
      <c r="C330" t="s">
        <v>1731</v>
      </c>
    </row>
    <row r="331" spans="3:3" x14ac:dyDescent="0.25">
      <c r="C331" t="s">
        <v>1733</v>
      </c>
    </row>
    <row r="332" spans="3:3" x14ac:dyDescent="0.25">
      <c r="C332" t="s">
        <v>1739</v>
      </c>
    </row>
    <row r="333" spans="3:3" x14ac:dyDescent="0.25">
      <c r="C333" t="s">
        <v>1741</v>
      </c>
    </row>
    <row r="334" spans="3:3" x14ac:dyDescent="0.25">
      <c r="C334" t="s">
        <v>1745</v>
      </c>
    </row>
    <row r="335" spans="3:3" x14ac:dyDescent="0.25">
      <c r="C335" t="s">
        <v>1747</v>
      </c>
    </row>
    <row r="336" spans="3:3" x14ac:dyDescent="0.25">
      <c r="C336" t="s">
        <v>1752</v>
      </c>
    </row>
    <row r="337" spans="3:3" x14ac:dyDescent="0.25">
      <c r="C337" t="s">
        <v>1759</v>
      </c>
    </row>
    <row r="338" spans="3:3" x14ac:dyDescent="0.25">
      <c r="C338" t="s">
        <v>1761</v>
      </c>
    </row>
    <row r="339" spans="3:3" x14ac:dyDescent="0.25">
      <c r="C339" t="s">
        <v>1766</v>
      </c>
    </row>
    <row r="340" spans="3:3" x14ac:dyDescent="0.25">
      <c r="C340" t="s">
        <v>1771</v>
      </c>
    </row>
    <row r="341" spans="3:3" x14ac:dyDescent="0.25">
      <c r="C341" t="s">
        <v>1776</v>
      </c>
    </row>
    <row r="342" spans="3:3" x14ac:dyDescent="0.25">
      <c r="C342" t="s">
        <v>1781</v>
      </c>
    </row>
    <row r="343" spans="3:3" x14ac:dyDescent="0.25">
      <c r="C343" t="s">
        <v>1786</v>
      </c>
    </row>
    <row r="344" spans="3:3" x14ac:dyDescent="0.25">
      <c r="C344" t="s">
        <v>1791</v>
      </c>
    </row>
    <row r="345" spans="3:3" x14ac:dyDescent="0.25">
      <c r="C345" t="s">
        <v>1804</v>
      </c>
    </row>
    <row r="346" spans="3:3" x14ac:dyDescent="0.25">
      <c r="C346" t="s">
        <v>1809</v>
      </c>
    </row>
    <row r="347" spans="3:3" x14ac:dyDescent="0.25">
      <c r="C347" t="s">
        <v>1814</v>
      </c>
    </row>
    <row r="348" spans="3:3" x14ac:dyDescent="0.25">
      <c r="C348" t="s">
        <v>1819</v>
      </c>
    </row>
    <row r="349" spans="3:3" x14ac:dyDescent="0.25">
      <c r="C349" t="s">
        <v>1824</v>
      </c>
    </row>
    <row r="350" spans="3:3" x14ac:dyDescent="0.25">
      <c r="C350" t="s">
        <v>1828</v>
      </c>
    </row>
    <row r="351" spans="3:3" x14ac:dyDescent="0.25">
      <c r="C351" t="s">
        <v>1833</v>
      </c>
    </row>
    <row r="352" spans="3:3" x14ac:dyDescent="0.25">
      <c r="C352" t="s">
        <v>1838</v>
      </c>
    </row>
    <row r="353" spans="3:3" x14ac:dyDescent="0.25">
      <c r="C353" t="s">
        <v>1843</v>
      </c>
    </row>
    <row r="354" spans="3:3" x14ac:dyDescent="0.25">
      <c r="C354" t="s">
        <v>1848</v>
      </c>
    </row>
    <row r="355" spans="3:3" x14ac:dyDescent="0.25">
      <c r="C355" t="s">
        <v>1854</v>
      </c>
    </row>
    <row r="356" spans="3:3" x14ac:dyDescent="0.25">
      <c r="C356" t="s">
        <v>1861</v>
      </c>
    </row>
    <row r="357" spans="3:3" x14ac:dyDescent="0.25">
      <c r="C357" t="s">
        <v>1864</v>
      </c>
    </row>
    <row r="358" spans="3:3" x14ac:dyDescent="0.25">
      <c r="C358" t="s">
        <v>1869</v>
      </c>
    </row>
    <row r="359" spans="3:3" x14ac:dyDescent="0.25">
      <c r="C359" t="s">
        <v>1874</v>
      </c>
    </row>
    <row r="360" spans="3:3" x14ac:dyDescent="0.25">
      <c r="C360" t="s">
        <v>1877</v>
      </c>
    </row>
    <row r="361" spans="3:3" x14ac:dyDescent="0.25">
      <c r="C361" t="s">
        <v>1881</v>
      </c>
    </row>
    <row r="362" spans="3:3" x14ac:dyDescent="0.25">
      <c r="C362" t="s">
        <v>1886</v>
      </c>
    </row>
    <row r="363" spans="3:3" x14ac:dyDescent="0.25">
      <c r="C363" t="s">
        <v>1891</v>
      </c>
    </row>
    <row r="364" spans="3:3" x14ac:dyDescent="0.25">
      <c r="C364" t="s">
        <v>1896</v>
      </c>
    </row>
    <row r="365" spans="3:3" x14ac:dyDescent="0.25">
      <c r="C365" t="s">
        <v>1901</v>
      </c>
    </row>
    <row r="366" spans="3:3" x14ac:dyDescent="0.25">
      <c r="C366" t="s">
        <v>1903</v>
      </c>
    </row>
    <row r="367" spans="3:3" x14ac:dyDescent="0.25">
      <c r="C367" t="s">
        <v>1908</v>
      </c>
    </row>
    <row r="368" spans="3:3" x14ac:dyDescent="0.25">
      <c r="C368" t="s">
        <v>1914</v>
      </c>
    </row>
    <row r="369" spans="3:3" x14ac:dyDescent="0.25">
      <c r="C369" t="s">
        <v>1919</v>
      </c>
    </row>
    <row r="370" spans="3:3" x14ac:dyDescent="0.25">
      <c r="C370" t="s">
        <v>1921</v>
      </c>
    </row>
    <row r="371" spans="3:3" x14ac:dyDescent="0.25">
      <c r="C371" t="s">
        <v>1923</v>
      </c>
    </row>
    <row r="372" spans="3:3" x14ac:dyDescent="0.25">
      <c r="C372" t="s">
        <v>1928</v>
      </c>
    </row>
    <row r="373" spans="3:3" x14ac:dyDescent="0.25">
      <c r="C373" t="s">
        <v>1933</v>
      </c>
    </row>
    <row r="374" spans="3:3" x14ac:dyDescent="0.25">
      <c r="C374" t="s">
        <v>1939</v>
      </c>
    </row>
    <row r="375" spans="3:3" x14ac:dyDescent="0.25">
      <c r="C375" t="s">
        <v>1944</v>
      </c>
    </row>
    <row r="376" spans="3:3" x14ac:dyDescent="0.25">
      <c r="C376" t="s">
        <v>1949</v>
      </c>
    </row>
    <row r="377" spans="3:3" x14ac:dyDescent="0.25">
      <c r="C377" t="s">
        <v>1958</v>
      </c>
    </row>
    <row r="378" spans="3:3" x14ac:dyDescent="0.25">
      <c r="C378" t="s">
        <v>1963</v>
      </c>
    </row>
    <row r="379" spans="3:3" x14ac:dyDescent="0.25">
      <c r="C379" t="s">
        <v>1967</v>
      </c>
    </row>
    <row r="380" spans="3:3" x14ac:dyDescent="0.25">
      <c r="C380" t="s">
        <v>1976</v>
      </c>
    </row>
    <row r="381" spans="3:3" x14ac:dyDescent="0.25">
      <c r="C381" t="s">
        <v>1981</v>
      </c>
    </row>
    <row r="382" spans="3:3" x14ac:dyDescent="0.25">
      <c r="C382" t="s">
        <v>1988</v>
      </c>
    </row>
    <row r="383" spans="3:3" x14ac:dyDescent="0.25">
      <c r="C383" t="s">
        <v>1993</v>
      </c>
    </row>
    <row r="384" spans="3:3" x14ac:dyDescent="0.25">
      <c r="C384" t="s">
        <v>1998</v>
      </c>
    </row>
    <row r="385" spans="3:3" x14ac:dyDescent="0.25">
      <c r="C385" t="s">
        <v>2003</v>
      </c>
    </row>
    <row r="386" spans="3:3" x14ac:dyDescent="0.25">
      <c r="C386" t="s">
        <v>2008</v>
      </c>
    </row>
    <row r="387" spans="3:3" x14ac:dyDescent="0.25">
      <c r="C387" t="s">
        <v>2014</v>
      </c>
    </row>
    <row r="388" spans="3:3" x14ac:dyDescent="0.25">
      <c r="C388" t="s">
        <v>2020</v>
      </c>
    </row>
    <row r="389" spans="3:3" x14ac:dyDescent="0.25">
      <c r="C389" t="s">
        <v>2024</v>
      </c>
    </row>
    <row r="390" spans="3:3" x14ac:dyDescent="0.25">
      <c r="C390" t="s">
        <v>2030</v>
      </c>
    </row>
    <row r="391" spans="3:3" x14ac:dyDescent="0.25">
      <c r="C391" t="s">
        <v>2036</v>
      </c>
    </row>
    <row r="392" spans="3:3" x14ac:dyDescent="0.25">
      <c r="C392" t="s">
        <v>2039</v>
      </c>
    </row>
    <row r="393" spans="3:3" x14ac:dyDescent="0.25">
      <c r="C393" t="s">
        <v>2041</v>
      </c>
    </row>
    <row r="394" spans="3:3" x14ac:dyDescent="0.25">
      <c r="C394" t="s">
        <v>2046</v>
      </c>
    </row>
    <row r="395" spans="3:3" x14ac:dyDescent="0.25">
      <c r="C395" t="s">
        <v>2052</v>
      </c>
    </row>
    <row r="396" spans="3:3" x14ac:dyDescent="0.25">
      <c r="C396" t="s">
        <v>2057</v>
      </c>
    </row>
    <row r="397" spans="3:3" x14ac:dyDescent="0.25">
      <c r="C397" t="s">
        <v>2062</v>
      </c>
    </row>
    <row r="398" spans="3:3" x14ac:dyDescent="0.25">
      <c r="C398" t="s">
        <v>2066</v>
      </c>
    </row>
    <row r="399" spans="3:3" x14ac:dyDescent="0.25">
      <c r="C399" t="s">
        <v>2071</v>
      </c>
    </row>
    <row r="400" spans="3:3" x14ac:dyDescent="0.25">
      <c r="C400" t="s">
        <v>2076</v>
      </c>
    </row>
    <row r="401" spans="3:3" x14ac:dyDescent="0.25">
      <c r="C401" t="s">
        <v>2083</v>
      </c>
    </row>
    <row r="402" spans="3:3" x14ac:dyDescent="0.25">
      <c r="C402" t="s">
        <v>2085</v>
      </c>
    </row>
    <row r="403" spans="3:3" x14ac:dyDescent="0.25">
      <c r="C403" t="s">
        <v>2089</v>
      </c>
    </row>
    <row r="404" spans="3:3" x14ac:dyDescent="0.25">
      <c r="C404" t="s">
        <v>2096</v>
      </c>
    </row>
    <row r="405" spans="3:3" x14ac:dyDescent="0.25">
      <c r="C405" t="s">
        <v>2102</v>
      </c>
    </row>
    <row r="406" spans="3:3" x14ac:dyDescent="0.25">
      <c r="C406" t="s">
        <v>2109</v>
      </c>
    </row>
    <row r="407" spans="3:3" x14ac:dyDescent="0.25">
      <c r="C407" t="s">
        <v>2112</v>
      </c>
    </row>
    <row r="408" spans="3:3" x14ac:dyDescent="0.25">
      <c r="C408" t="s">
        <v>2115</v>
      </c>
    </row>
    <row r="409" spans="3:3" x14ac:dyDescent="0.25">
      <c r="C409" t="s">
        <v>2119</v>
      </c>
    </row>
    <row r="410" spans="3:3" x14ac:dyDescent="0.25">
      <c r="C410" t="s">
        <v>2123</v>
      </c>
    </row>
    <row r="411" spans="3:3" x14ac:dyDescent="0.25">
      <c r="C411" t="s">
        <v>2129</v>
      </c>
    </row>
    <row r="412" spans="3:3" x14ac:dyDescent="0.25">
      <c r="C412" t="s">
        <v>2134</v>
      </c>
    </row>
    <row r="413" spans="3:3" x14ac:dyDescent="0.25">
      <c r="C413" t="s">
        <v>2140</v>
      </c>
    </row>
    <row r="414" spans="3:3" x14ac:dyDescent="0.25">
      <c r="C414" t="s">
        <v>2142</v>
      </c>
    </row>
    <row r="415" spans="3:3" x14ac:dyDescent="0.25">
      <c r="C415" t="s">
        <v>2144</v>
      </c>
    </row>
    <row r="416" spans="3:3" x14ac:dyDescent="0.25">
      <c r="C416" t="s">
        <v>2146</v>
      </c>
    </row>
    <row r="417" spans="3:3" x14ac:dyDescent="0.25">
      <c r="C417" t="s">
        <v>2150</v>
      </c>
    </row>
    <row r="418" spans="3:3" x14ac:dyDescent="0.25">
      <c r="C418" t="s">
        <v>2156</v>
      </c>
    </row>
    <row r="419" spans="3:3" x14ac:dyDescent="0.25">
      <c r="C419" t="s">
        <v>2159</v>
      </c>
    </row>
    <row r="420" spans="3:3" x14ac:dyDescent="0.25">
      <c r="C420" t="s">
        <v>2166</v>
      </c>
    </row>
    <row r="421" spans="3:3" x14ac:dyDescent="0.25">
      <c r="C421" t="s">
        <v>2172</v>
      </c>
    </row>
    <row r="422" spans="3:3" x14ac:dyDescent="0.25">
      <c r="C422" t="s">
        <v>2176</v>
      </c>
    </row>
    <row r="423" spans="3:3" x14ac:dyDescent="0.25">
      <c r="C423" t="s">
        <v>2181</v>
      </c>
    </row>
    <row r="424" spans="3:3" x14ac:dyDescent="0.25">
      <c r="C424" t="s">
        <v>2187</v>
      </c>
    </row>
    <row r="425" spans="3:3" x14ac:dyDescent="0.25">
      <c r="C425" t="s">
        <v>2192</v>
      </c>
    </row>
    <row r="426" spans="3:3" x14ac:dyDescent="0.25">
      <c r="C426" t="s">
        <v>2197</v>
      </c>
    </row>
    <row r="427" spans="3:3" x14ac:dyDescent="0.25">
      <c r="C427" t="s">
        <v>2199</v>
      </c>
    </row>
    <row r="428" spans="3:3" x14ac:dyDescent="0.25">
      <c r="C428" t="s">
        <v>2206</v>
      </c>
    </row>
    <row r="429" spans="3:3" x14ac:dyDescent="0.25">
      <c r="C429" t="s">
        <v>2210</v>
      </c>
    </row>
    <row r="430" spans="3:3" x14ac:dyDescent="0.25">
      <c r="C430" t="s">
        <v>2213</v>
      </c>
    </row>
    <row r="431" spans="3:3" x14ac:dyDescent="0.25">
      <c r="C431" t="s">
        <v>2217</v>
      </c>
    </row>
    <row r="432" spans="3:3" x14ac:dyDescent="0.25">
      <c r="C432" t="s">
        <v>2219</v>
      </c>
    </row>
    <row r="433" spans="3:3" x14ac:dyDescent="0.25">
      <c r="C433" t="s">
        <v>2225</v>
      </c>
    </row>
    <row r="434" spans="3:3" x14ac:dyDescent="0.25">
      <c r="C434" t="s">
        <v>2231</v>
      </c>
    </row>
    <row r="435" spans="3:3" x14ac:dyDescent="0.25">
      <c r="C435" t="s">
        <v>2235</v>
      </c>
    </row>
    <row r="436" spans="3:3" x14ac:dyDescent="0.25">
      <c r="C436" t="s">
        <v>2238</v>
      </c>
    </row>
    <row r="437" spans="3:3" x14ac:dyDescent="0.25">
      <c r="C437" t="s">
        <v>2244</v>
      </c>
    </row>
    <row r="438" spans="3:3" x14ac:dyDescent="0.25">
      <c r="C438" t="s">
        <v>2250</v>
      </c>
    </row>
    <row r="439" spans="3:3" x14ac:dyDescent="0.25">
      <c r="C439" t="s">
        <v>2255</v>
      </c>
    </row>
    <row r="440" spans="3:3" x14ac:dyDescent="0.25">
      <c r="C440" t="s">
        <v>2265</v>
      </c>
    </row>
    <row r="441" spans="3:3" x14ac:dyDescent="0.25">
      <c r="C441" t="s">
        <v>2268</v>
      </c>
    </row>
    <row r="442" spans="3:3" x14ac:dyDescent="0.25">
      <c r="C442" t="s">
        <v>2270</v>
      </c>
    </row>
    <row r="443" spans="3:3" x14ac:dyDescent="0.25">
      <c r="C443" t="s">
        <v>2276</v>
      </c>
    </row>
    <row r="444" spans="3:3" x14ac:dyDescent="0.25">
      <c r="C444" t="s">
        <v>2279</v>
      </c>
    </row>
    <row r="445" spans="3:3" x14ac:dyDescent="0.25">
      <c r="C445" t="s">
        <v>2281</v>
      </c>
    </row>
    <row r="446" spans="3:3" x14ac:dyDescent="0.25">
      <c r="C446" t="s">
        <v>2285</v>
      </c>
    </row>
    <row r="447" spans="3:3" x14ac:dyDescent="0.25">
      <c r="C447" t="s">
        <v>2288</v>
      </c>
    </row>
    <row r="448" spans="3:3" x14ac:dyDescent="0.25">
      <c r="C448" t="s">
        <v>2291</v>
      </c>
    </row>
    <row r="449" spans="3:3" x14ac:dyDescent="0.25">
      <c r="C449" t="s">
        <v>2294</v>
      </c>
    </row>
    <row r="450" spans="3:3" x14ac:dyDescent="0.25">
      <c r="C450" t="s">
        <v>2297</v>
      </c>
    </row>
    <row r="451" spans="3:3" x14ac:dyDescent="0.25">
      <c r="C451" t="s">
        <v>2302</v>
      </c>
    </row>
    <row r="452" spans="3:3" x14ac:dyDescent="0.25">
      <c r="C452" t="s">
        <v>2305</v>
      </c>
    </row>
    <row r="453" spans="3:3" x14ac:dyDescent="0.25">
      <c r="C453" t="s">
        <v>2310</v>
      </c>
    </row>
    <row r="454" spans="3:3" x14ac:dyDescent="0.25">
      <c r="C454" t="s">
        <v>2315</v>
      </c>
    </row>
    <row r="455" spans="3:3" x14ac:dyDescent="0.25">
      <c r="C455" t="s">
        <v>2320</v>
      </c>
    </row>
    <row r="456" spans="3:3" x14ac:dyDescent="0.25">
      <c r="C456" t="s">
        <v>2325</v>
      </c>
    </row>
    <row r="457" spans="3:3" x14ac:dyDescent="0.25">
      <c r="C457" t="s">
        <v>2328</v>
      </c>
    </row>
    <row r="458" spans="3:3" x14ac:dyDescent="0.25">
      <c r="C458" t="s">
        <v>2332</v>
      </c>
    </row>
    <row r="459" spans="3:3" x14ac:dyDescent="0.25">
      <c r="C459" t="s">
        <v>2334</v>
      </c>
    </row>
    <row r="460" spans="3:3" x14ac:dyDescent="0.25">
      <c r="C460" t="s">
        <v>2339</v>
      </c>
    </row>
    <row r="461" spans="3:3" x14ac:dyDescent="0.25">
      <c r="C461" t="s">
        <v>2343</v>
      </c>
    </row>
    <row r="462" spans="3:3" x14ac:dyDescent="0.25">
      <c r="C462" t="s">
        <v>2349</v>
      </c>
    </row>
    <row r="463" spans="3:3" x14ac:dyDescent="0.25">
      <c r="C463" t="s">
        <v>2354</v>
      </c>
    </row>
    <row r="464" spans="3:3" x14ac:dyDescent="0.25">
      <c r="C464" t="s">
        <v>2358</v>
      </c>
    </row>
    <row r="465" spans="3:3" x14ac:dyDescent="0.25">
      <c r="C465" t="s">
        <v>2363</v>
      </c>
    </row>
    <row r="466" spans="3:3" x14ac:dyDescent="0.25">
      <c r="C466" t="s">
        <v>2368</v>
      </c>
    </row>
    <row r="467" spans="3:3" x14ac:dyDescent="0.25">
      <c r="C467" t="s">
        <v>2395</v>
      </c>
    </row>
    <row r="468" spans="3:3" x14ac:dyDescent="0.25">
      <c r="C468" t="s">
        <v>2400</v>
      </c>
    </row>
    <row r="469" spans="3:3" x14ac:dyDescent="0.25">
      <c r="C469" t="s">
        <v>2405</v>
      </c>
    </row>
    <row r="470" spans="3:3" x14ac:dyDescent="0.25">
      <c r="C470" t="s">
        <v>2411</v>
      </c>
    </row>
    <row r="471" spans="3:3" x14ac:dyDescent="0.25">
      <c r="C471" t="s">
        <v>2417</v>
      </c>
    </row>
    <row r="472" spans="3:3" x14ac:dyDescent="0.25">
      <c r="C472" t="s">
        <v>2421</v>
      </c>
    </row>
    <row r="473" spans="3:3" x14ac:dyDescent="0.25">
      <c r="C473" t="s">
        <v>2426</v>
      </c>
    </row>
    <row r="474" spans="3:3" x14ac:dyDescent="0.25">
      <c r="C474" t="s">
        <v>2431</v>
      </c>
    </row>
    <row r="475" spans="3:3" x14ac:dyDescent="0.25">
      <c r="C475" t="s">
        <v>2440</v>
      </c>
    </row>
    <row r="476" spans="3:3" x14ac:dyDescent="0.25">
      <c r="C476" t="s">
        <v>2445</v>
      </c>
    </row>
    <row r="477" spans="3:3" x14ac:dyDescent="0.25">
      <c r="C477" t="s">
        <v>2450</v>
      </c>
    </row>
    <row r="478" spans="3:3" x14ac:dyDescent="0.25">
      <c r="C478" t="s">
        <v>2455</v>
      </c>
    </row>
    <row r="479" spans="3:3" x14ac:dyDescent="0.25">
      <c r="C479" t="s">
        <v>2459</v>
      </c>
    </row>
    <row r="480" spans="3:3" x14ac:dyDescent="0.25">
      <c r="C480" t="s">
        <v>2464</v>
      </c>
    </row>
    <row r="481" spans="3:3" x14ac:dyDescent="0.25">
      <c r="C481" t="s">
        <v>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3</vt:i4>
      </vt:variant>
    </vt:vector>
  </HeadingPairs>
  <TitlesOfParts>
    <vt:vector size="9" baseType="lpstr">
      <vt:lpstr>Capa - Dashboard</vt:lpstr>
      <vt:lpstr>CRM Indústrias</vt:lpstr>
      <vt:lpstr>Base de Clientes</vt:lpstr>
      <vt:lpstr>Evolução Anual</vt:lpstr>
      <vt:lpstr>Contatos Adicionais</vt:lpstr>
      <vt:lpstr>_Listas</vt:lpstr>
      <vt:lpstr>lst_Clientes</vt:lpstr>
      <vt:lpstr>lst_Industrias</vt:lpstr>
      <vt:lpstr>lst_Setores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Rodrigues</cp:lastModifiedBy>
  <dcterms:created xsi:type="dcterms:W3CDTF">2026-05-08T18:05:41Z</dcterms:created>
  <dcterms:modified xsi:type="dcterms:W3CDTF">2026-05-11T21:19:52Z</dcterms:modified>
</cp:coreProperties>
</file>